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 state="visible" name="Admin Portal Module" sheetId="2" r:id="rId6"/>
    <sheet state="visible" name="Severity Guide" sheetId="3" r:id="rId7"/>
    <sheet state="visible" name="Summary Table" sheetId="4" r:id="rId8"/>
  </sheets>
  <definedNames/>
  <calcPr/>
</workbook>
</file>

<file path=xl/sharedStrings.xml><?xml version="1.0" encoding="utf-8"?>
<sst xmlns="http://schemas.openxmlformats.org/spreadsheetml/2006/main" count="557" uniqueCount="366">
  <si>
    <t>Bug Report — Event Management System</t>
  </si>
  <si>
    <t>Legend: fill in the yellow cells below. One row per bug. Use the dropdowns for Severity and Module.</t>
  </si>
  <si>
    <t>Tester name:</t>
  </si>
  <si>
    <t>Nafeel Sarook</t>
  </si>
  <si>
    <t>Date:</t>
  </si>
  <si>
    <t>10.10.2026</t>
  </si>
  <si>
    <t>Build / URL tested:</t>
  </si>
  <si>
    <t>https://qa.caprconuat.xyz/events</t>
  </si>
  <si>
    <t>Browser / device:</t>
  </si>
  <si>
    <t>Microsoft Edge</t>
  </si>
  <si>
    <t>Bug #</t>
  </si>
  <si>
    <t>Title</t>
  </si>
  <si>
    <t>Severity</t>
  </si>
  <si>
    <t>Module / Page</t>
  </si>
  <si>
    <t>Environment (role)</t>
  </si>
  <si>
    <t>Steps to Reproduce</t>
  </si>
  <si>
    <t>Expected Result</t>
  </si>
  <si>
    <t>Actual Result</t>
  </si>
  <si>
    <t>Screenshots / Evidence</t>
  </si>
  <si>
    <t>Additional Notes</t>
  </si>
  <si>
    <t>Status</t>
  </si>
  <si>
    <t>Any user can register as an admin</t>
  </si>
  <si>
    <t>Critical</t>
  </si>
  <si>
    <t>Admin Portal → User Registration</t>
  </si>
  <si>
    <t>Guest (unauthenticated)</t>
  </si>
  <si>
    <t>1. Go to /register
2. Select "Admin" in Register As
3. Submit
4. Log in</t>
  </si>
  <si>
    <t>Registration should ignore/reject a self-selected admin role</t>
  </si>
  <si>
    <t>Account is created with role=admin and has full admin access</t>
  </si>
  <si>
    <t>(attach screenshot)</t>
  </si>
  <si>
    <t>Mass-assignment via $request-&gt;all() in RegisteredUserController</t>
  </si>
  <si>
    <t>Open</t>
  </si>
  <si>
    <t>1 -  Event Listing</t>
  </si>
  <si>
    <t>The events page lists all events in a responsive card grid, 6 per page, with pagination.</t>
  </si>
  <si>
    <t>Medium</t>
  </si>
  <si>
    <t>Other</t>
  </si>
  <si>
    <t>Guest, User</t>
  </si>
  <si>
    <t>1. Open with public Portal. 
2. Count the event cards displayed on the first page.
3. Check whether exactly 6 events are displayed.
4. Look for pagination controls, such as Next, page numbers, or Previous</t>
  </si>
  <si>
    <t>The page should display six event cards per page, with pagination to navigate between pages</t>
  </si>
  <si>
    <t>The page displays six event cards per page, with pagination to navigate between pages</t>
  </si>
  <si>
    <t>URD Section 3.1 - Event page list successfully visible with pagination.</t>
  </si>
  <si>
    <t>Fixed</t>
  </si>
  <si>
    <t>2 -  Event Listing</t>
  </si>
  <si>
    <t>Each event card shows: title, venue, date/time, a short description, price (or 'Free' if price is 0), and an
'Upcoming' or 'Past' status badge based on the event date.</t>
  </si>
  <si>
    <t>User</t>
  </si>
  <si>
    <t>1. Open the public Event Listing page.
2. Select an event card and check whether it displays:
- Event title
- Venue
- Date and time
- Short description
- Price, or 'Free' if the price is 0
- Status badge: Upcoming or Past
3. Repeat for several event cards, including at least one past event and one upcoming event.
4. Compare each event's status with its actual date and time.
5. If a free event is available, verify that its price displays as 'Free', not 0.</t>
  </si>
  <si>
    <t>All required details should be visible on each card, and the status badge correctly reflects whether the event is upcoming or past.</t>
  </si>
  <si>
    <t>All required details are visible on each card, and the status badge correctly reflects whether the event is upcoming or past.</t>
  </si>
  <si>
    <t>URD Section 3.1 - required details are visible on each card, and the status badge correctly reflects</t>
  </si>
  <si>
    <t>3 -  Event Listing</t>
  </si>
  <si>
    <t>Guest</t>
  </si>
  <si>
    <t>1. Open the public Event Listing page withoud login.
2. Select an event card and check whether it displays:
- Event title
- Venue
- Date and time
- Short description
- Price, or 'Free' if the price is 0
- Status badge: Upcoming or Past
3. Repeat for several event cards, including at least one past event and one upcoming event.
4. Compare each event's status with its actual date and time.
5. If a free event is available, verify that its price displays as 'Free', not 0.</t>
  </si>
  <si>
    <t>Guests should see a prompt to log in or register
instead.</t>
  </si>
  <si>
    <t xml:space="preserve">As a guest user can see all the relevent detais but the nubmer of seats and book now options are not visible </t>
  </si>
  <si>
    <t>URD Section 3.1 - required details are visible on each card, and the status badge correctly reflects related to the user role</t>
  </si>
  <si>
    <t>4 -  Event Listing</t>
  </si>
  <si>
    <t>Cards must be evenly aligned in the grid at every screen width (mobile, tablet, desktop) with no overlapping or
visually offset cards.</t>
  </si>
  <si>
    <t>Cosmetic</t>
  </si>
  <si>
    <t>1. Open with public Portal. 
2. Navigate to the event listing page. 
3. Observe all six event cards. 
4. Compare the fifth card's alignment with the others.</t>
  </si>
  <si>
    <t>All event cards should be evenly aligned in the grid without unexpected offsets.</t>
  </si>
  <si>
    <t>The fifth event card appears misaligned compared with the other event cards.</t>
  </si>
  <si>
    <t>https://drive.google.com/file/d/1ADx2xLlUePRP9WOtXdyIAy8P6p5V-b-L/view?usp=sharing</t>
  </si>
  <si>
    <t>URD Section 3.1 - Event cards must be evenly aligned at every screen width.</t>
  </si>
  <si>
    <t>5 -  Event Listing</t>
  </si>
  <si>
    <t>Only events that are genuinely relevant to browse/book should be presented as bookable; past events should
be clearly distinguishable from upcoming ones</t>
  </si>
  <si>
    <t>High</t>
  </si>
  <si>
    <t>Public Portal → Event Booking</t>
  </si>
  <si>
    <t xml:space="preserve">1. Log in with a test user account. 
2. Open an event whose date and time are in the past. 
3. Enter a valid ticket quantity. 
4. Click Book Now. 
5. Observe the result </t>
  </si>
  <si>
    <t>The system should prevent bookings for past events and display a clear validation message.</t>
  </si>
  <si>
    <t>All three tested user accounts were able to book tickets for past events.</t>
  </si>
  <si>
    <t>https://drive.google.com/file/d/1T3t44wPk7ds7Ql9Y_XztFsM_na9WES2t/view?usp=sharing</t>
  </si>
  <si>
    <t>URD Sections 3.1 and 3.4. Verify whether the resulting bookings appear in My Bookings and the Admin Portal.</t>
  </si>
  <si>
    <t>6 -  Event Listing</t>
  </si>
  <si>
    <t xml:space="preserve">1. Open an eventas a guest
2. Try to enter valid ticket QTY 
3. Try to Click Book Now. 
4. Observe the result </t>
  </si>
  <si>
    <t>The system should not prevent ticket quantity and bookings for guest user</t>
  </si>
  <si>
    <t>As a guest user can see a prompt to log in , create an account
instead of ticket qty and book now</t>
  </si>
  <si>
    <t>7 -  Search</t>
  </si>
  <si>
    <t>Users can search events by title from the search box on the events page</t>
  </si>
  <si>
    <t xml:space="preserve"> User</t>
  </si>
  <si>
    <t>1. Log in with puplic portal account
2. Open the public Event Listing page.
3. Choose an event and note its exact title.
4. Enter the complete title into the search box.
5. Click Search</t>
  </si>
  <si>
    <t>The user should find out the search box</t>
  </si>
  <si>
    <t>Successfully find the search box in the event page</t>
  </si>
  <si>
    <t>URD Section 3.2 - find the search box in the event page</t>
  </si>
  <si>
    <t>8 -  Search</t>
  </si>
  <si>
    <t xml:space="preserve"> Search should match partial and case-insensitive input (e.g. searching “tech” should find “Colombo Tech
Summit”).</t>
  </si>
  <si>
    <t>1. Log in with puplic portal account. 
2. Open the events page. 
3. Enter only part of an existing event title in the search box. 
4. Observe the search results. 
5. Repeat with the other two accounts.</t>
  </si>
  <si>
    <t>Search should return matching events when users enter only part of an event title, regardless of letter casing.</t>
  </si>
  <si>
    <t>Search does not filter correctly using partial title input; users must type the entire event title to find the event.</t>
  </si>
  <si>
    <t>https://drive.google.com/file/d/1OY6vqWeoj4bla9fDSixwHh1kpjBofotg/view?usp=sharing</t>
  </si>
  <si>
    <t>URD Section 3.2 - Search must support partial and case-insensitive matching.</t>
  </si>
  <si>
    <t>9 -  Search</t>
  </si>
  <si>
    <t>The search term should remain applied when navigating between pages of results.</t>
  </si>
  <si>
    <t>1. Log in with puplic portal account. 
2. Open the events page. 
3. Enter a search term that returns multiple results across pages. 
4. Navigate to the next page of results. 
5. Observe the search box and displayed events</t>
  </si>
  <si>
    <t>The search term should remain applied, and the next page should display results matching the same search term.</t>
  </si>
  <si>
    <t>The search term is not retained when navigating between result pages.</t>
  </si>
  <si>
    <t>https://drive.google.com/file/d/1IcKlDHdAcFBCqGz7gLmzff884ycJK_0k/view?usp=sharing</t>
  </si>
  <si>
    <t>URD Section 3.2 - Search term must remain applied during pagination.</t>
  </si>
  <si>
    <t>10 - Search</t>
  </si>
  <si>
    <t>A clear 'no events found' message should appear when a search has no matches.</t>
  </si>
  <si>
    <t>Low</t>
  </si>
  <si>
    <t>Public Portal → Event Browsing</t>
  </si>
  <si>
    <t>1. Login with public portal
2. Open the Event Listing page. 
3. Enter a search term that does not match any event title (e.g.,incorrect event). 
4. Click Search. 
5. Observe the results area.</t>
  </si>
  <si>
    <t>A clear 'No events found for your search' message should appear when the search returns no matching events.</t>
  </si>
  <si>
    <t>No events found for your search' message is displayed.</t>
  </si>
  <si>
    <t>URD Section 3.3 - 'No events found for your search' message is displayed.</t>
  </si>
  <si>
    <t>11 - Search</t>
  </si>
  <si>
    <t>Clearing the search field does not automatically refresh the event list</t>
  </si>
  <si>
    <t>1. Log in with puplic portal account. 
2. Open the events page. 
3. Enter a search term and click Search. 
4. Clear the search field. 
5. Observe whether the full event list is restored without clicking Search.</t>
  </si>
  <si>
    <t>Ideally, clearing the search field should reset the filter and restore the full event list.</t>
  </si>
  <si>
    <t>Clearing the search field does not automatically refresh the event list; the user must click Search.</t>
  </si>
  <si>
    <t>https://drive.google.com/file/d/1_nweVo4H3f_P88Cwq8Cc-UlI55C_GNHt/view?usp=sharing</t>
  </si>
  <si>
    <t>The URD does not explicitly require automatic refresh on clearing the field. Confirm whether this is intended behavior before including it in the final report.</t>
  </si>
  <si>
    <t>12 - Event details</t>
  </si>
  <si>
    <t>The event details page shows full event information: title, venue, date/time, full description, price, and remaining
capacity.</t>
  </si>
  <si>
    <t>1. Open the Public Portal. 
2. Select an event with existing bookings. 
3. Open its Event Details page. 
4. Check the displayed seat capacity. 
5. Compare it with the event's total capacity and confirmed tickets booked.</t>
  </si>
  <si>
    <t>The page should display the remaining capacity, calculated as total capacity minus tickets already booked.</t>
  </si>
  <si>
    <t>The page displays the event's total seat capacity instead of the remaining capacity.</t>
  </si>
  <si>
    <t>https://drive.google.com/file/d/124Wqb2NyF_i_k0OiJ__LnioXR9K_ctt9/view?usp=sharing</t>
  </si>
  <si>
    <t>URD Section 3.3 — Event Details must show remaining capacity.</t>
  </si>
  <si>
    <t>13 - Event details</t>
  </si>
  <si>
    <t>Logged-in users see a booking form (ticket quantity + “Book Now”); guests see a prompt to log in or register
instead.</t>
  </si>
  <si>
    <t>Guest and logged-in user</t>
  </si>
  <si>
    <t>1. Open the Public Portal. 
2. Log out and open an event's details page. 
3. Check the booking section. 
4. Log in with a valid customer account. 
5. Open an upcoming event's details page. 
6. Check the booking section again.</t>
  </si>
  <si>
    <t>Guests should see a prompt to log in or register. Logged-in customers should see the ticket quantity field and 'Book Now' button.</t>
  </si>
  <si>
    <t>14 - Booking</t>
  </si>
  <si>
    <t xml:space="preserve">A logged-in user can book 1 or more tickets for an upcoming event.
</t>
  </si>
  <si>
    <t>Loged user</t>
  </si>
  <si>
    <t>1. Log in as a user.
2. Open an upcoming event 
3. Enter a valid quantity (e.g., 1).
4. Click 'Book Now'.
5. Observe the results</t>
  </si>
  <si>
    <t>The system should successfully create the booking for the requested quantity.</t>
  </si>
  <si>
    <t>The system successfully create the booking for the requested quantity.</t>
  </si>
  <si>
    <t>15 - Booking</t>
  </si>
  <si>
    <t>The booking quantity must be a positive whole number; zero, negative, decimal, or blank quantities must be
rejected with a validation message</t>
  </si>
  <si>
    <t xml:space="preserve">1. Log in as a user.
2. Open an existing event.
3. Enter 0, a negative number, a decimal, or leave the quantity blank.
4. Click 'Book Now'.
</t>
  </si>
  <si>
    <t>The system should reject invalid quantities and display a validation message.</t>
  </si>
  <si>
    <t xml:space="preserve"> The system successfully reject invalid quantities and display a validation message.</t>
  </si>
  <si>
    <t>16 - Booking</t>
  </si>
  <si>
    <t>Booking quantity exceeds remaining event capacity</t>
  </si>
  <si>
    <t>1. Log in as a user.
2. Open an event with known remaining capacity.
3. Enter a quantity greater than the remaining capacity.
4. Click 'Book Now'.</t>
  </si>
  <si>
    <t>The system should reject the booking and prevent the event capacity from being exceeded</t>
  </si>
  <si>
    <t>The system does not reject the booking; it was accepted as a booking.</t>
  </si>
  <si>
    <t>https://drive.google.com/file/d/1fesP13qzkTvgheRwW_TQDFJD2oYsinP4/view?usp=sharing</t>
  </si>
  <si>
    <t>17 - Booking</t>
  </si>
  <si>
    <t>Incorrect total booking price calculation</t>
  </si>
  <si>
    <t>1.  Log in as a user.
2. Open an upcoming event.
3. Note the ticket price.
4. Enter a valid quantity greater than 1.
5. Submit the booking and check the total charged.</t>
  </si>
  <si>
    <t>The total price should equal ticket price × quantity.</t>
  </si>
  <si>
    <t>Incorrect total price displayed</t>
  </si>
  <si>
    <t>https://drive.google.com/file/d/1BE61S6e4PfdYqeiAaMaD2dX5ReIAKDbI/view?usp=sharing</t>
  </si>
  <si>
    <t>18 - Booking</t>
  </si>
  <si>
    <t xml:space="preserve"> A single click/submit of Book Now must create exactly one booking - rapid repeated clicks must not create
duplicate bookings</t>
  </si>
  <si>
    <t>1. Log in as a user.
2. Open an existing event.
3. Enter a valid quantity.
4. Click 'Book Now' repeatedly in quick succession.
5. Check 'My Bookings' for duplicate records.</t>
  </si>
  <si>
    <t>One submission should create exactly one booking.</t>
  </si>
  <si>
    <t>One submission create exactly one booking.</t>
  </si>
  <si>
    <t>19 - Booking</t>
  </si>
  <si>
    <t>On success, the user is redirected to “My Bookings” with a clear confirmation message, and the new booking
appears in the list immediately.</t>
  </si>
  <si>
    <t>1. Log in as a customer.
2. Complete a valid booking.
3. Observe the destination page and confirmation message.
4. Check whether the new booking appears immediately.</t>
  </si>
  <si>
    <t>The system should redirect to 'My Bookings', display a clear confirmation message, and show the new booking immediately.</t>
  </si>
  <si>
    <t xml:space="preserve">The system redirected to my booking and displayed confirmation message, but does not redirect to new booking </t>
  </si>
  <si>
    <t>https://drive.google.com/file/d/1GVChaUS0jL8pG8vrhcXPd11b0ccHwXDH/view?usp=sharing</t>
  </si>
  <si>
    <t>20 - Booking</t>
  </si>
  <si>
    <t>Booking or My Bookings page responds too slowly</t>
  </si>
  <si>
    <t>1. Login as a user
2. Complete a valid booking and measure the response time.
3. Open 'My Bookings' and measure its loading time.
4. Repeat the measurement to confirm the issue.</t>
  </si>
  <si>
    <t>Booking and viewing bookings should respond promptly without long waits.</t>
  </si>
  <si>
    <t>The booking operation and My Bookings page takes an unusually long time to respond.</t>
  </si>
  <si>
    <t>https://drive.google.com/file/d/1tOZht1ZpNwo7xLEMDQXpShiA-K5ZPGH9/view?usp=sharing</t>
  </si>
  <si>
    <t>21 - MyBooking</t>
  </si>
  <si>
    <t>A logged-in user can view all of their own bookings: event, venue, date, quantity, total price, and status</t>
  </si>
  <si>
    <t>1. Log in as a user with existing bookings.
2. Open My Bookings.
3. Inspect the details displayed for each booking.</t>
  </si>
  <si>
    <t>Each booking should display event, venue, date/time, quantity, total price, and status.</t>
  </si>
  <si>
    <t>Successfully displayed each details of the booking</t>
  </si>
  <si>
    <t>22 - MyBooking</t>
  </si>
  <si>
    <t>Verify that My Bookings summary tiles display total bookings, total tickets, and total amount spent accurately.</t>
  </si>
  <si>
    <t>1. Log in as a user
2. Redirect to My Bookings.
3. Verify the Summary tiles</t>
  </si>
  <si>
    <t>Summary values should match the sum of the user's listed bookings.</t>
  </si>
  <si>
    <t>All relevant summary details are displayed successfully.</t>
  </si>
  <si>
    <t>23 - MyBooking</t>
  </si>
  <si>
    <t>Available slots are not displayed in the Admin Upcoming Events section after booking cancellation</t>
  </si>
  <si>
    <t>Loged user and Admin</t>
  </si>
  <si>
    <t>1. Log in as a user. 
2. Open My Bookings. 
3. Cancel an existing booking. 
4. Log in to the Admin Portal. 
5. Open the Upcoming Events section and check the event's available slots.</t>
  </si>
  <si>
    <t>Cancelled tickets should be released, and the updated available capacity should be reflected wherever capacity information is displayed. The cancelled booking should not count toward active/confirmed bookings or admin totals.</t>
  </si>
  <si>
    <t>The customer can cancel their own booking, but the Admin Portal's Upcoming Events section does not show the available slots after cancellation.</t>
  </si>
  <si>
    <t>https://drive.google.com/file/d/1U_J4edQ2ECShJokZXT2TPhsvIZ0NOAUd/view?usp=sharing</t>
  </si>
  <si>
    <t>24 - MyBooking</t>
  </si>
  <si>
    <t>A user must not be able to view or cancel another user's booking.</t>
  </si>
  <si>
    <t xml:space="preserve">Loged user </t>
  </si>
  <si>
    <t>1. Log in to a customer account. 
2. Open My Bookings. 
3. View the displayed bookings. 
4. Check whether the user can view or edit bookings belonging to another account.</t>
  </si>
  <si>
    <t>Users must be able to view, edit, or cancel only their own bookings. Access to another user's booking must be denied.</t>
  </si>
  <si>
    <t>The logged-in user can view and edit bookings only from their own account.</t>
  </si>
  <si>
    <t>25 - MyBooking</t>
  </si>
  <si>
    <t>The page must load within 3 seconds under normal conditions.</t>
  </si>
  <si>
    <t>1. Login as a user
2. Open 'My Bookings' and measure its loading time.
3. Repeat the measurement to confirm the issue.</t>
  </si>
  <si>
    <t>My booking should respond promptly without long waits.</t>
  </si>
  <si>
    <t>My Bookings page takes an unusually long time to respond.</t>
  </si>
  <si>
    <t>Duplicate</t>
  </si>
  <si>
    <t>26 -  Access Control</t>
  </si>
  <si>
    <t xml:space="preserve"> All /admin routes and actions must be accessible only to users with the Admin role</t>
  </si>
  <si>
    <t>Admin Portal → Access Control</t>
  </si>
  <si>
    <t xml:space="preserve">Loged Admin </t>
  </si>
  <si>
    <t>1. Log in using an Admin account. 
2. Navigate through the available Admin routes. 
3. Verify access to the Admin actions.</t>
  </si>
  <si>
    <t>Only users with the Admin role should be able to access Admin routes and perform Admin actions.</t>
  </si>
  <si>
    <t>The Admin user can access all routes and actions through the Admin role.</t>
  </si>
  <si>
    <t>Non-admin access restrictions should be tested separately using a customer account and direct URLs.</t>
  </si>
  <si>
    <t>27 -  Access Control</t>
  </si>
  <si>
    <t>Identified - Unauthorized users are denied access to Admin actions</t>
  </si>
  <si>
    <t xml:space="preserve">Non-admin / User </t>
  </si>
  <si>
    <t>1. Log in using a non-admin account. 
2. Attempt to access an Admin page or perform an Admin-only action. 
3. Observe the system response.</t>
  </si>
  <si>
    <t>Non-admin users must be denied access to Admin routes and actions, regardless of the access method. The system should return a 403 Forbidden response.</t>
  </si>
  <si>
    <t>The system displays the message '403 — This action is unauthorized.' The unauthorized user cannot access the requested action.</t>
  </si>
  <si>
    <t>28 -  Event Management</t>
  </si>
  <si>
    <t>Admin can create events with all required fields</t>
  </si>
  <si>
    <t>Admin Portal → Event Management</t>
  </si>
  <si>
    <t>Admin</t>
  </si>
  <si>
    <t>1. Log in using an Admin account. 
2. Navigate to event creation. 
3. Enter the title, description, venue, date/time, capacity, and price. 
4. Submit the form. 
5. Verify that the event is created successfully.</t>
  </si>
  <si>
    <t>The Admin should be able to create an event with all required fields, and the event details should be saved correctly.</t>
  </si>
  <si>
    <t>The event was successfully created with all relevant fields using an Admin account.</t>
  </si>
  <si>
    <t>29 -  Event Management</t>
  </si>
  <si>
    <t>Admin can create/edit events with all required fields</t>
  </si>
  <si>
    <t>1. Log in using an Admin account. 
2. Navigate to event creation or edit existing event. 
3. Enter negative amount of price. 
4. Submit the form. 
5. Verify that the event is created successfully or not.</t>
  </si>
  <si>
    <t>The Admin should be able retreve a validation message amount cannot type lessthan 0</t>
  </si>
  <si>
    <t>The event was successfully created/ updated with negative amount using an Admin account.</t>
  </si>
  <si>
    <t>30 -  Event Management</t>
  </si>
  <si>
    <t xml:space="preserve">Verify Event creation page are displayed with valid details </t>
  </si>
  <si>
    <t>1. Log in using an Admin account. 
2. Open the Create Event page. 
3. Enter the title, venue, valid date/time, positive whole-number capacity, and non-negative price. 
4. Complete the remaining required fields. 
5. Submit the form. 
6. Verify that the created event displays all entered details correctly.</t>
  </si>
  <si>
    <t>The system should accept valid input, save the event, and display all entered details correctly. Invalid values should be rejected with appropriate validation messages.</t>
  </si>
  <si>
    <t>The event was created successfully, and all relevant details appeared correctly.</t>
  </si>
  <si>
    <t>31 -  Event Management</t>
  </si>
  <si>
    <t>Event date/time are not updated after editing despite receiving a success notification</t>
  </si>
  <si>
    <t>1. Log in using an Admin account. 
2. Navigate to event management. 
3. Select an existing event date/time to edit. 
4. Change the date, and time to valid upcoming values. 
5. Save the changes. 
6. Observe the update notification. 
7. Reopen the event and verify the saved details.</t>
  </si>
  <si>
    <t>The system should save the date, and time, display a success notification only after a successful update, and show the updated details consistently on the public portal. The event date/time must represent a genuinely upcoming event.</t>
  </si>
  <si>
    <t>An update notification is displayed, but the original event date/time remain unchanged.</t>
  </si>
  <si>
    <t>https://drive.google.com/file/d/1izghbltjl_rSTF6I13DGebpB_nJSCHp9/view?usp=sharing</t>
  </si>
  <si>
    <t>Attach screenshots of the original event details, the update notification, and the event details after attempting to edit.</t>
  </si>
  <si>
    <t>32 -  Event Management</t>
  </si>
  <si>
    <t>Event details are not updated after editing despite receiving a success notification</t>
  </si>
  <si>
    <t>1. Log in using an Admin account. 
2. Navigate to event management. 
3. Select an existing event to edit. 
4. Change the event title, date, and time to valid upcoming values. 
5. Save the changes. 
6. Observe the update notification. 
7. Reopen the event and verify the saved details.</t>
  </si>
  <si>
    <t>The system should save the updated title,vanue,amount,date, and time, display a success notification only after a successful update, and show the updated details consistently on the public portal. The event date/time must represent a genuinely upcoming event.</t>
  </si>
  <si>
    <t>An update notification is displayed, but the original event details remain unchanged.</t>
  </si>
  <si>
    <t>https://drive.google.com/file/d/1iJpjI3AUpZK4P_0ZcZhKgTJGidErMPV8/view?usp=sharing</t>
  </si>
  <si>
    <t>33 -  Event Management</t>
  </si>
  <si>
    <t>Event capacity can be reduce even after all tickets have been booked</t>
  </si>
  <si>
    <t>1. Log in using an Admin account. 
2. Open an event with existing bookings. 
3. Edit the event capacity. 
4. Set the capacity to a value lower than the number of tickets already booked. 
5. Save the changes. 
6. Verify whether the system accepts the new capacity.</t>
  </si>
  <si>
    <t>The system must prevent the Admin from reducing event capacity below the total number of tickets already booked. A validation message should explain why the change is rejected.</t>
  </si>
  <si>
    <t>The Admin can reduce the event capacity even after all bookings are complete.</t>
  </si>
  <si>
    <t>https://drive.google.com/file/d/1F8VfhPQE3LzkroGRiIKY7h1L8Qyn8IrN/view?usp=sharing</t>
  </si>
  <si>
    <t>34 -  Event Management</t>
  </si>
  <si>
    <t>Event deletion confirmation does not indicate the number of affected bookings</t>
  </si>
  <si>
    <t>1. Log in using an Admin account. 
2. Navigate to event management. 
3. Select an event that has existing bookings. 
4. Click Delete. 
5. Observe the confirmation popup before confirming deletion.</t>
  </si>
  <si>
    <t>The confirmation message should clearly communicate the impact of deleting the event, including the number of existing bookings that will be affected, before deletion proceeds.</t>
  </si>
  <si>
    <t>The confirmation popup only displays 'Delete this event?' and does not indicate the number of affected bookings.</t>
  </si>
  <si>
    <t>https://drive.google.com/file/d/1S-ciOc7og0PfI8dTJfBP8LLE8aN0Kaw4/view?usp=sharing</t>
  </si>
  <si>
    <t>35 - Booking Management</t>
  </si>
  <si>
    <t>Admin can view all booking details</t>
  </si>
  <si>
    <t>Admin Portal → Booking Management</t>
  </si>
  <si>
    <t>1. Log in using an Admin account. 
2. Navigate to Booking Management. 
3. Review bookings across different users and events. 
4. Verify the customer, event, quantity, total price, status, and booking date for each booking.</t>
  </si>
  <si>
    <t>The Admin should be able to view all bookings across users and events, including all six required details.</t>
  </si>
  <si>
    <t>The Admin can successfully view all users' and events' bookings with the required details.</t>
  </si>
  <si>
    <t>36 - Booking Management</t>
  </si>
  <si>
    <t>Verify - Booking status counts match the actual booking records</t>
  </si>
  <si>
    <t>1. Log in using an Admin account. 
2. Open Booking Management. 
3. Check the Total Bookings, Confirmed, and Cancelled counts. 
4. Compare the displayed counts with the actual booking records in each state.</t>
  </si>
  <si>
    <t>Total Bookings, Confirmed, and Cancelled counts should accurately match the actual number of bookings in each state.</t>
  </si>
  <si>
    <t>The displayed total bookings, confirmed bookings, and cancelled bookings counts match the actual records.</t>
  </si>
  <si>
    <t>37 - Booking Management</t>
  </si>
  <si>
    <t>Total revenue does not update after a booking is cancelled</t>
  </si>
  <si>
    <t>Admin, user</t>
  </si>
  <si>
    <t>1. Log in as a customer. 
2. Book tickets for an event. 
3. Log in as an Admin and record the total revenue. 
4. Cancel the booking using the customer account. 
5. Return to the Admin Portal and check the total revenue again.</t>
  </si>
  <si>
    <t>Total revenue should include only active, non-cancelled bookings. After a booking is cancelled, the revenue total should decrease by the cancelled booking's total price and update promptly.</t>
  </si>
  <si>
    <t>Total revenue increases when a booking is created but does not change after the booking is cancelled.</t>
  </si>
  <si>
    <t>https://drive.google.com/file/d/12a5pYQHZm_ZvqDPzE0BdhZOTnI4ZYbFL/view?usp=sharing</t>
  </si>
  <si>
    <t>38 - Dashboard</t>
  </si>
  <si>
    <t xml:space="preserve">Verify admin dashboard displays total events, total bookings, total revenue, a list of upcoming events with tickets booked, and the most recent bookings
</t>
  </si>
  <si>
    <t>Admin Portal → Dashboard</t>
  </si>
  <si>
    <t>1. Log in using an Admin account. 
2. Open the Admin Dashboard. 
3. Verify the total events, total bookings, total revenue, upcoming events with tickets booked, and most recent bookings.</t>
  </si>
  <si>
    <t>The dashboard should display all five required information sections correctly.</t>
  </si>
  <si>
    <t>The system successfully displays total events, total bookings, total revenue, upcoming events with tickets booked, and the most recent bookings.</t>
  </si>
  <si>
    <t>39 - Dashboard</t>
  </si>
  <si>
    <t>Verify - Dashboard figures appear accurate and current</t>
  </si>
  <si>
    <t>1. Log in using an Admin account. 
2. Open the Admin Dashboard. 
3. Check the dashboard figures. 
4. Verify the figures after recent bookings and cancellations.</t>
  </si>
  <si>
    <t>All dashboard figures should be accurate and reflect recent bookings and cancellations promptly.</t>
  </si>
  <si>
    <t>All details are appearing correctly on the dashboard.</t>
  </si>
  <si>
    <t>40 - Dashboard</t>
  </si>
  <si>
    <t>Ticket counts shown per event must reflect only active (non-cancelled) bookings</t>
  </si>
  <si>
    <t>1. Log in using an Admin account. 
2. Navigate to the event listing or dashboard. 
3. Check the ticket count displayed for an event. 
4. Verify that the count represents confirmed, non-cancelled tickets.</t>
  </si>
  <si>
    <t>Ticket counts per event should include only active, non-cancelled bookings.</t>
  </si>
  <si>
    <t>The system displays the active ticket count as Confirmed.</t>
  </si>
  <si>
    <t>41 - Cross-Cutting Requirements</t>
  </si>
  <si>
    <t>Black Line Visible in Select Mobile responsive View</t>
  </si>
  <si>
    <t>Admin, user, guest</t>
  </si>
  <si>
    <t>1. Visit application with any user.
2. Select Mobile responsive view.
3. Observe the UI.
4. Notice the unwanted black line displayed top of the events</t>
  </si>
  <si>
    <t>The Select Mobile responsive view should display correctly without any unwanted black lines.</t>
  </si>
  <si>
    <t>A black line is visible in the Select Mobile responsive view.</t>
  </si>
  <si>
    <t>https://drive.google.com/file/d/1VwyFZGhdhqH1NwdD8tJuUBS-zj6DxzMz/view?usp=sharing</t>
  </si>
  <si>
    <t>42 - Cross-Cutting Requirements</t>
  </si>
  <si>
    <t>Footer Is Hidden in Login and Registration Pages in Mobile Responsive View</t>
  </si>
  <si>
    <t>1 Open the application in mobile responsive view.
2. Navigate to the Login page or Registration page.
3. Scroll down to the bottom of the page.
4.Observe that the footer is hidden or not fully visible.</t>
  </si>
  <si>
    <t>The footer should be properly displayed and accessible in the mobile responsive view.</t>
  </si>
  <si>
    <t>The footer is hidden in the mobile responsive view on the Login and Registration pages.</t>
  </si>
  <si>
    <t>https://drive.google.com/file/d/1_ziUjER0PaK-d3dCOUsxWKFq_eeQzO_k/view?usp=sharing</t>
  </si>
  <si>
    <t>43 - Cross-Cutting Requirements</t>
  </si>
  <si>
    <t>Three Event Details Are Hidden in Mobile Responsive View on Admin Dashboard</t>
  </si>
  <si>
    <t>1. Log in to the application as an admin.
2. Navigate to the Admin Dashboard.
3. Click on the Total Events section.
4. View the event details in mobile responsive view.
5. Observe that only the event title and date are visible, while the other three features are hidden.</t>
  </si>
  <si>
    <t>All five event details should be properly displayed and accessible in mobile responsive view.</t>
  </si>
  <si>
    <t>Only the event title and half date are displayed. The other three event details are hidden in mobile responsive view.</t>
  </si>
  <si>
    <t>https://drive.google.com/file/d/1qD8X1TIdge2P4wsTfUyyASrItj_lOuyk/view?usp=sharing</t>
  </si>
  <si>
    <t>44 - Cross-Cutting Requirements</t>
  </si>
  <si>
    <t>Three Booking Details Are Hidden in Mobile Responsive View on Admin Dashboard</t>
  </si>
  <si>
    <t>1. Log in to the application as an admin.
2. Navigate to the Admin Dashboard.
3. Click on the Total Booking section.
4. View the booking details in mobile responsive view.
5. Observe that only the Event, Customer, and Quantity fields are visible, while the other three fields are hidden.</t>
  </si>
  <si>
    <t>All six booking details should be properly displayed or accessible in mobile responsive view.</t>
  </si>
  <si>
    <t>Only the Event, Customer, and Quantity fields are displayed. The other three booking details are hidden in mobile responsive view.</t>
  </si>
  <si>
    <t>https://drive.google.com/file/d/1BggUlXC82SwyzuEAYTkxO60AcwS3Rlkr/view?usp=sharing</t>
  </si>
  <si>
    <t>45 - Cross-Cutting Requirements</t>
  </si>
  <si>
    <t>Date Picker Is Not Displayed Properly When Creating a Ticket</t>
  </si>
  <si>
    <t>1. Log in to the application as admin.
2. Navigate to the ticket creation page.
3. Click on the date field to open the date and time picker.
4. Observe the date picker in normal view.
5. Notice that the calendar dates are partially cut off and not displayed properly.</t>
  </si>
  <si>
    <t>The date picker should be displayed correctly, with all calendar dates fully visible and properly aligned.</t>
  </si>
  <si>
    <t>The date picker calendar is misaligned, and some dates are partially hidden or cut off in normal view.</t>
  </si>
  <si>
    <t>https://drive.google.com/file/d/1XUzWB1Xb3_3pWsyZZcS9FWc3ZphfugBS/view?usp=sharing</t>
  </si>
  <si>
    <t>46 - Cross-Cutting Requirements</t>
  </si>
  <si>
    <t>Consistent Formatting of Prices, Dates, and Statuses Across Pages</t>
  </si>
  <si>
    <t>1. Log in to the application with any user.
2. Navigate through different pages that display prices, dates, and statuses.
3. Compare the formatting of prices, dates, and statuses across the pages.
4. Observe any inconsistencies in their display formats.</t>
  </si>
  <si>
    <t>Prices, dates, and statuses should be formatted consistently across every page where they appear, following a standardized format.</t>
  </si>
  <si>
    <t>Prices, dates, and statuses are displayed consistently across all pages.</t>
  </si>
  <si>
    <t>47 - Cross-Cutting Requirements</t>
  </si>
  <si>
    <t>Verify Successful Actions and Data Updates Across All User Roles</t>
  </si>
  <si>
    <t>1. Log in using different user roles.
2. Perform actions such as creating, updating, cancelling, or confirming records.
3. Verify that appropriate success messages are displayed after successful completion.
4. Recheck the relevant records in the admin list or other related pages.
5. Confirm that the changes are correctly saved and reflected across the application.</t>
  </si>
  <si>
    <t>All actions should execute successfully, the underlying data should be updated correctly, and the changes should be reflected consistently across all relevant pages and user roles</t>
  </si>
  <si>
    <t>All actions executed successfully, the underlying data should be updated correctly, and the changes should be reflected consistently across all relevant pages and user roles</t>
  </si>
  <si>
    <t>48 - Cross-Cutting Requirements</t>
  </si>
  <si>
    <t>Event Creation Form Accepts Invalid Inputs Without Validation</t>
  </si>
  <si>
    <t>1. Log in to the application as an admin.
2. Navigate to the event creation page.
3. Enter a numeric value in the event title field.
4. Enter 0 or a negative value in the capacity field.
5. Enter a negative amount in the price field.
6. Select a date in the past.
7. Click the Create Event button.
8. Observe that the event is created successfully without any validation messages.</t>
  </si>
  <si>
    <t>The form should validate all inputs before creating an event. It should reject invalid values and display clear, specific error messages for each validation failure.</t>
  </si>
  <si>
    <t>The event creation form accepts invalid inputs, including numeric-only titles, zero or negative capacity, negative prices, and past dates. The event is created without displaying any validation errors.</t>
  </si>
  <si>
    <r>
      <rPr>
        <rFont val="Calibri"/>
        <color rgb="FF0000FF"/>
        <sz val="11.0"/>
        <u/>
      </rPr>
      <t xml:space="preserve">https://drive.google.com/file/d/1V-ojDL0XIzcLelvgPygE-GhETFm8sWxJ/view?usp=sharing
</t>
    </r>
    <r>
      <rPr>
        <rFont val="Calibri"/>
        <color rgb="FF1155CC"/>
        <sz val="11.0"/>
        <u/>
      </rPr>
      <t>https://drive.google.com/file/d/1IHJutcRToQ3vX8MCRfjPlp_n0jBLbc0S/view?usp=sharing</t>
    </r>
  </si>
  <si>
    <t>Admin Portal — Module Reference</t>
  </si>
  <si>
    <t>Use these sub-module names in the Module / Page column when a bug is in the admin area (login as admin@example.com).</t>
  </si>
  <si>
    <t>Sub-Module</t>
  </si>
  <si>
    <t>Pages / Routes</t>
  </si>
  <si>
    <t>Who Can Access</t>
  </si>
  <si>
    <t>What To Check</t>
  </si>
  <si>
    <t>/admin/dashboard</t>
  </si>
  <si>
    <t>Admin only (role=admin)</t>
  </si>
  <si>
    <t>Stat tiles match real counts; quick-action links resolve; non-admins redirected away</t>
  </si>
  <si>
    <t>/admin/events, /admin/events/create, /admin/events/{id}/edit, DELETE /admin/events/{id}</t>
  </si>
  <si>
    <t>Admin only</t>
  </si>
  <si>
    <t>Create/edit validation (price, capacity, event_date); delete route's actual middleware vs. the auth group it's declared in; past-dated events</t>
  </si>
  <si>
    <t>/admin/bookings</t>
  </si>
  <si>
    <t>Totals match quantity × price; cascade behavior when the related event is deleted</t>
  </si>
  <si>
    <t>role column on registration, admin middleware group, route list</t>
  </si>
  <si>
    <t>Should be admin-only; verify it actually is</t>
  </si>
  <si>
    <t>Try reaching every /admin/* route as a logged-in non-admin and as a guest; compare routes:list middleware to what the UI implies</t>
  </si>
  <si>
    <t>Admin Portal → QA Bug Reports</t>
  </si>
  <si>
    <t>/admin/qa-bug-reports</t>
  </si>
  <si>
    <t>Template downloads correctly; only .xlsx/.xls accepted; uploaded reports listed and downloadable</t>
  </si>
  <si>
    <t>Severity Guide</t>
  </si>
  <si>
    <t>Definition</t>
  </si>
  <si>
    <t>Example</t>
  </si>
  <si>
    <t>Security vulnerability, data loss/corruption, or a core flow is completely unusable</t>
  </si>
  <si>
    <t>Any user can register as admin</t>
  </si>
  <si>
    <t>Major functionality broken, no reasonable workaround, affects many users</t>
  </si>
  <si>
    <t>Wrong total price charged on booking</t>
  </si>
  <si>
    <t>Functionality impaired but a workaround exists, or affects a subset of users</t>
  </si>
  <si>
    <t>Search doesn't return partial matches</t>
  </si>
  <si>
    <t>Minor functional or UX issue with limited impact</t>
  </si>
  <si>
    <t>Inconsistent currency formatting</t>
  </si>
  <si>
    <t>Visual/text issue with no functional impact</t>
  </si>
  <si>
    <t>Typo in a success message</t>
  </si>
  <si>
    <t>Summary Table (auto-filled from Bug Report sheet)</t>
  </si>
  <si>
    <t>#</t>
  </si>
  <si>
    <t>Module</t>
  </si>
  <si>
    <t>Count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</si>
</sst>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1F2937"/>
      <name val="Arial"/>
    </font>
    <font>
      <i/>
      <sz val="9.0"/>
      <color rgb="FF6B7280"/>
      <name val="Arial"/>
    </font>
    <font>
      <b/>
      <sz val="10.0"/>
      <color rgb="FF374151"/>
      <name val="Arial"/>
    </font>
    <font>
      <sz val="11.0"/>
      <color theme="1"/>
      <name val="Calibri"/>
    </font>
    <font/>
    <font>
      <u/>
      <sz val="11.0"/>
      <color rgb="FF0000FF"/>
      <name val="Calibri"/>
    </font>
    <font>
      <b/>
      <sz val="11.0"/>
      <color rgb="FFFFFFFF"/>
      <name val="Arial"/>
    </font>
    <font>
      <i/>
      <sz val="10.0"/>
      <color rgb="FF9CA3AF"/>
      <name val="Arial"/>
    </font>
    <font>
      <u/>
      <sz val="11.0"/>
      <color rgb="FF0000FF"/>
      <name val="Calibri"/>
    </font>
    <font>
      <color theme="1"/>
      <name val="Calibri"/>
      <scheme val="minor"/>
    </font>
  </fonts>
  <fills count="4">
    <fill>
      <patternFill patternType="none"/>
    </fill>
    <fill>
      <patternFill patternType="lightGray"/>
    </fill>
    <fill>
      <patternFill patternType="solid">
        <fgColor rgb="FFFFFDE7"/>
        <bgColor rgb="FFFFFDE7"/>
      </patternFill>
    </fill>
    <fill>
      <patternFill patternType="solid">
        <fgColor rgb="FF4F46E5"/>
        <bgColor rgb="FF4F46E5"/>
      </patternFill>
    </fill>
  </fills>
  <borders count="5">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Font="1"/>
    <xf borderId="1" fillId="2" fontId="4" numFmtId="0" xfId="0" applyAlignment="1" applyBorder="1" applyFill="1" applyFont="1">
      <alignment readingOrder="0"/>
    </xf>
    <xf borderId="2" fillId="0" fontId="5" numFmtId="0" xfId="0" applyBorder="1" applyFont="1"/>
    <xf borderId="3" fillId="0" fontId="5" numFmtId="0" xfId="0" applyBorder="1" applyFont="1"/>
    <xf borderId="1" fillId="2" fontId="6" numFmtId="0" xfId="0" applyAlignment="1" applyBorder="1" applyFill="1" applyFont="1">
      <alignment readingOrder="0"/>
    </xf>
    <xf borderId="4" fillId="3" fontId="7" numFmtId="0" xfId="0" applyAlignment="1" applyBorder="1" applyFill="1" applyFont="1">
      <alignment shrinkToFit="0" vertical="center" wrapText="1"/>
    </xf>
    <xf borderId="4" fillId="0" fontId="8" numFmtId="0" xfId="0" applyAlignment="1" applyBorder="1" applyFont="1">
      <alignment shrinkToFit="0" vertical="top" wrapText="1"/>
    </xf>
    <xf borderId="4" fillId="2" fontId="4" numFmtId="0" xfId="0" applyAlignment="1" applyBorder="1" applyFill="1" applyFont="1">
      <alignment readingOrder="0" shrinkToFit="0" vertical="top" wrapText="1"/>
    </xf>
    <xf borderId="4" fillId="2" fontId="4" numFmtId="0" xfId="0" applyAlignment="1" applyBorder="1" applyFill="1" applyFont="1">
      <alignment readingOrder="0" shrinkToFit="0" vertical="top" wrapText="1"/>
    </xf>
    <xf borderId="4" fillId="2" fontId="9" numFmtId="0" xfId="0" applyAlignment="1" applyBorder="1" applyFill="1" applyFont="1">
      <alignment readingOrder="0" shrinkToFit="0" vertical="top" wrapText="1"/>
    </xf>
    <xf quotePrefix="1" borderId="4" fillId="2" fontId="4" numFmtId="0" xfId="0" applyAlignment="1" applyBorder="1" applyFill="1" applyFont="1">
      <alignment readingOrder="0" shrinkToFit="0" vertical="top" wrapText="1"/>
    </xf>
    <xf borderId="4" fillId="2" fontId="4" numFmtId="0" xfId="0" applyAlignment="1" applyBorder="1" applyFill="1" applyFont="1">
      <alignment shrinkToFit="0" vertical="top" wrapText="1"/>
    </xf>
    <xf borderId="0" fillId="0" fontId="2" numFmtId="0" xfId="0" applyFont="1"/>
    <xf borderId="4" fillId="0" fontId="4" numFmtId="0" xfId="0" applyAlignment="1" applyBorder="1" applyFont="1">
      <alignment shrinkToFit="0" vertical="top" wrapText="1"/>
    </xf>
    <xf borderId="4" fillId="0" fontId="4" numFmtId="0" xfId="0" applyBorder="1"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qD8X1TIdge2P4wsTfUyyASrItj_lOuyk/view?usp=sharing" TargetMode="External"/><Relationship Id="rId11" Type="http://schemas.openxmlformats.org/officeDocument/2006/relationships/hyperlink" Target="https://drive.google.com/file/d/1tOZht1ZpNwo7xLEMDQXpShiA-K5ZPGH9/view?usp=sharing" TargetMode="External"/><Relationship Id="rId22" Type="http://schemas.openxmlformats.org/officeDocument/2006/relationships/hyperlink" Target="https://drive.google.com/file/d/1XUzWB1Xb3_3pWsyZZcS9FWc3ZphfugBS/view?usp=sharing" TargetMode="External"/><Relationship Id="rId10" Type="http://schemas.openxmlformats.org/officeDocument/2006/relationships/hyperlink" Target="https://drive.google.com/file/d/1GVChaUS0jL8pG8vrhcXPd11b0ccHwXDH/view?usp=sharing" TargetMode="External"/><Relationship Id="rId21" Type="http://schemas.openxmlformats.org/officeDocument/2006/relationships/hyperlink" Target="https://drive.google.com/file/d/1BggUlXC82SwyzuEAYTkxO60AcwS3Rlkr/view?usp=sharing" TargetMode="External"/><Relationship Id="rId13" Type="http://schemas.openxmlformats.org/officeDocument/2006/relationships/hyperlink" Target="https://drive.google.com/file/d/1izghbltjl_rSTF6I13DGebpB_nJSCHp9/view?usp=sharing" TargetMode="External"/><Relationship Id="rId24" Type="http://schemas.openxmlformats.org/officeDocument/2006/relationships/drawing" Target="../drawings/drawing1.xml"/><Relationship Id="rId12" Type="http://schemas.openxmlformats.org/officeDocument/2006/relationships/hyperlink" Target="https://drive.google.com/file/d/1U_J4edQ2ECShJokZXT2TPhsvIZ0NOAUd/view?usp=sharing" TargetMode="External"/><Relationship Id="rId23" Type="http://schemas.openxmlformats.org/officeDocument/2006/relationships/hyperlink" Target="https://drive.google.com/file/d/1V-ojDL0XIzcLelvgPygE-GhETFm8sWxJ/view?usp=sharing" TargetMode="External"/><Relationship Id="rId1" Type="http://schemas.openxmlformats.org/officeDocument/2006/relationships/hyperlink" Target="https://qa.caprconuat.xyz/events" TargetMode="External"/><Relationship Id="rId2" Type="http://schemas.openxmlformats.org/officeDocument/2006/relationships/hyperlink" Target="https://drive.google.com/file/d/1ADx2xLlUePRP9WOtXdyIAy8P6p5V-b-L/view?usp=sharing" TargetMode="External"/><Relationship Id="rId3" Type="http://schemas.openxmlformats.org/officeDocument/2006/relationships/hyperlink" Target="https://drive.google.com/file/d/1T3t44wPk7ds7Ql9Y_XztFsM_na9WES2t/view?usp=sharing" TargetMode="External"/><Relationship Id="rId4" Type="http://schemas.openxmlformats.org/officeDocument/2006/relationships/hyperlink" Target="https://drive.google.com/file/d/1OY6vqWeoj4bla9fDSixwHh1kpjBofotg/view?usp=sharing" TargetMode="External"/><Relationship Id="rId9" Type="http://schemas.openxmlformats.org/officeDocument/2006/relationships/hyperlink" Target="https://drive.google.com/file/d/1BE61S6e4PfdYqeiAaMaD2dX5ReIAKDbI/view?usp=sharing" TargetMode="External"/><Relationship Id="rId15" Type="http://schemas.openxmlformats.org/officeDocument/2006/relationships/hyperlink" Target="https://drive.google.com/file/d/1F8VfhPQE3LzkroGRiIKY7h1L8Qyn8IrN/view?usp=sharing" TargetMode="External"/><Relationship Id="rId14" Type="http://schemas.openxmlformats.org/officeDocument/2006/relationships/hyperlink" Target="https://drive.google.com/file/d/1iJpjI3AUpZK4P_0ZcZhKgTJGidErMPV8/view?usp=sharing" TargetMode="External"/><Relationship Id="rId17" Type="http://schemas.openxmlformats.org/officeDocument/2006/relationships/hyperlink" Target="https://drive.google.com/file/d/12a5pYQHZm_ZvqDPzE0BdhZOTnI4ZYbFL/view?usp=sharing" TargetMode="External"/><Relationship Id="rId16" Type="http://schemas.openxmlformats.org/officeDocument/2006/relationships/hyperlink" Target="https://drive.google.com/file/d/1S-ciOc7og0PfI8dTJfBP8LLE8aN0Kaw4/view?usp=sharing" TargetMode="External"/><Relationship Id="rId5" Type="http://schemas.openxmlformats.org/officeDocument/2006/relationships/hyperlink" Target="https://drive.google.com/file/d/1IcKlDHdAcFBCqGz7gLmzff884ycJK_0k/view?usp=sharing" TargetMode="External"/><Relationship Id="rId19" Type="http://schemas.openxmlformats.org/officeDocument/2006/relationships/hyperlink" Target="https://drive.google.com/file/d/1_ziUjER0PaK-d3dCOUsxWKFq_eeQzO_k/view?usp=sharing" TargetMode="External"/><Relationship Id="rId6" Type="http://schemas.openxmlformats.org/officeDocument/2006/relationships/hyperlink" Target="https://drive.google.com/file/d/1_nweVo4H3f_P88Cwq8Cc-UlI55C_GNHt/view?usp=sharing" TargetMode="External"/><Relationship Id="rId18" Type="http://schemas.openxmlformats.org/officeDocument/2006/relationships/hyperlink" Target="https://drive.google.com/file/d/1VwyFZGhdhqH1NwdD8tJuUBS-zj6DxzMz/view?usp=sharing" TargetMode="External"/><Relationship Id="rId7" Type="http://schemas.openxmlformats.org/officeDocument/2006/relationships/hyperlink" Target="https://drive.google.com/file/d/124Wqb2NyF_i_k0OiJ__LnioXR9K_ctt9/view?usp=sharing" TargetMode="External"/><Relationship Id="rId8" Type="http://schemas.openxmlformats.org/officeDocument/2006/relationships/hyperlink" Target="https://drive.google.com/file/d/1fesP13qzkTvgheRwW_TQDFJD2oYsinP4/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27.14"/>
    <col customWidth="1" min="2" max="2" width="26.0"/>
    <col customWidth="1" min="3" max="3" width="12.0"/>
    <col customWidth="1" min="4" max="4" width="24.0"/>
    <col customWidth="1" min="5" max="5" width="18.0"/>
    <col customWidth="1" min="6" max="6" width="32.0"/>
    <col customWidth="1" min="7" max="8" width="26.0"/>
    <col customWidth="1" min="9" max="9" width="20.0"/>
    <col customWidth="1" min="10" max="10" width="28.0"/>
    <col customWidth="1" min="11" max="11" width="12.57"/>
    <col customWidth="1" min="12" max="26" width="8.71"/>
  </cols>
  <sheetData>
    <row r="1">
      <c r="A1" s="1" t="s">
        <v>0</v>
      </c>
    </row>
    <row r="2">
      <c r="A2" s="2" t="s">
        <v>1</v>
      </c>
    </row>
    <row r="4">
      <c r="A4" s="3" t="s">
        <v>2</v>
      </c>
      <c r="B4" s="4" t="s">
        <v>3</v>
      </c>
      <c r="C4" s="5"/>
      <c r="D4" s="6"/>
    </row>
    <row r="5">
      <c r="A5" s="3" t="s">
        <v>4</v>
      </c>
      <c r="B5" s="4" t="s">
        <v>5</v>
      </c>
      <c r="C5" s="5"/>
      <c r="D5" s="6"/>
    </row>
    <row r="6">
      <c r="A6" s="3" t="s">
        <v>6</v>
      </c>
      <c r="B6" s="7" t="s">
        <v>7</v>
      </c>
      <c r="C6" s="5"/>
      <c r="D6" s="6"/>
    </row>
    <row r="7">
      <c r="A7" s="3" t="s">
        <v>8</v>
      </c>
      <c r="B7" s="4" t="s">
        <v>9</v>
      </c>
      <c r="C7" s="5"/>
      <c r="D7" s="6"/>
    </row>
    <row r="9">
      <c r="A9" s="8" t="s">
        <v>10</v>
      </c>
      <c r="B9" s="8" t="s">
        <v>11</v>
      </c>
      <c r="C9" s="8" t="s">
        <v>12</v>
      </c>
      <c r="D9" s="8" t="s">
        <v>13</v>
      </c>
      <c r="E9" s="8" t="s">
        <v>14</v>
      </c>
      <c r="F9" s="8" t="s">
        <v>15</v>
      </c>
      <c r="G9" s="8" t="s">
        <v>16</v>
      </c>
      <c r="H9" s="8" t="s">
        <v>17</v>
      </c>
      <c r="I9" s="8" t="s">
        <v>18</v>
      </c>
      <c r="J9" s="8" t="s">
        <v>19</v>
      </c>
      <c r="K9" s="8" t="s">
        <v>20</v>
      </c>
    </row>
    <row r="10" ht="60.0" customHeight="1">
      <c r="A10" s="9">
        <v>1.0</v>
      </c>
      <c r="B10" s="9" t="s">
        <v>21</v>
      </c>
      <c r="C10" s="9" t="s">
        <v>22</v>
      </c>
      <c r="D10" s="9" t="s">
        <v>23</v>
      </c>
      <c r="E10" s="9" t="s">
        <v>24</v>
      </c>
      <c r="F10" s="9" t="s">
        <v>25</v>
      </c>
      <c r="G10" s="9" t="s">
        <v>26</v>
      </c>
      <c r="H10" s="9" t="s">
        <v>27</v>
      </c>
      <c r="I10" s="9" t="s">
        <v>28</v>
      </c>
      <c r="J10" s="9" t="s">
        <v>29</v>
      </c>
      <c r="K10" s="9" t="s">
        <v>30</v>
      </c>
    </row>
    <row r="11">
      <c r="A11" s="10" t="s">
        <v>31</v>
      </c>
      <c r="B11" s="10" t="s">
        <v>32</v>
      </c>
      <c r="C11" s="10" t="s">
        <v>33</v>
      </c>
      <c r="D11" s="10" t="s">
        <v>34</v>
      </c>
      <c r="E11" s="10" t="s">
        <v>35</v>
      </c>
      <c r="F11" s="10" t="s">
        <v>36</v>
      </c>
      <c r="G11" s="10" t="s">
        <v>37</v>
      </c>
      <c r="H11" s="10" t="s">
        <v>38</v>
      </c>
      <c r="I11" s="11"/>
      <c r="J11" s="10" t="s">
        <v>39</v>
      </c>
      <c r="K11" s="10" t="s">
        <v>40</v>
      </c>
    </row>
    <row r="12">
      <c r="A12" s="10" t="s">
        <v>41</v>
      </c>
      <c r="B12" s="10" t="s">
        <v>42</v>
      </c>
      <c r="C12" s="10" t="s">
        <v>33</v>
      </c>
      <c r="D12" s="10" t="s">
        <v>34</v>
      </c>
      <c r="E12" s="10" t="s">
        <v>43</v>
      </c>
      <c r="F12" s="10" t="s">
        <v>44</v>
      </c>
      <c r="G12" s="10" t="s">
        <v>45</v>
      </c>
      <c r="H12" s="10" t="s">
        <v>46</v>
      </c>
      <c r="I12" s="11"/>
      <c r="J12" s="10" t="s">
        <v>47</v>
      </c>
      <c r="K12" s="10" t="s">
        <v>40</v>
      </c>
    </row>
    <row r="13">
      <c r="A13" s="10" t="s">
        <v>48</v>
      </c>
      <c r="B13" s="10" t="s">
        <v>42</v>
      </c>
      <c r="C13" s="10" t="s">
        <v>33</v>
      </c>
      <c r="D13" s="10" t="s">
        <v>34</v>
      </c>
      <c r="E13" s="10" t="s">
        <v>49</v>
      </c>
      <c r="F13" s="10" t="s">
        <v>50</v>
      </c>
      <c r="G13" s="10" t="s">
        <v>51</v>
      </c>
      <c r="H13" s="10" t="s">
        <v>52</v>
      </c>
      <c r="I13" s="11"/>
      <c r="J13" s="10" t="s">
        <v>53</v>
      </c>
      <c r="K13" s="10" t="s">
        <v>40</v>
      </c>
    </row>
    <row r="14">
      <c r="A14" s="10" t="s">
        <v>54</v>
      </c>
      <c r="B14" s="10" t="s">
        <v>55</v>
      </c>
      <c r="C14" s="10" t="s">
        <v>56</v>
      </c>
      <c r="D14" s="10" t="s">
        <v>34</v>
      </c>
      <c r="E14" s="10" t="s">
        <v>43</v>
      </c>
      <c r="F14" s="10" t="s">
        <v>57</v>
      </c>
      <c r="G14" s="10" t="s">
        <v>58</v>
      </c>
      <c r="H14" s="10" t="s">
        <v>59</v>
      </c>
      <c r="I14" s="12" t="s">
        <v>60</v>
      </c>
      <c r="J14" s="10" t="s">
        <v>61</v>
      </c>
      <c r="K14" s="10" t="s">
        <v>30</v>
      </c>
    </row>
    <row r="15">
      <c r="A15" s="10" t="s">
        <v>62</v>
      </c>
      <c r="B15" s="10" t="s">
        <v>63</v>
      </c>
      <c r="C15" s="10" t="s">
        <v>64</v>
      </c>
      <c r="D15" s="10" t="s">
        <v>65</v>
      </c>
      <c r="E15" s="10" t="s">
        <v>43</v>
      </c>
      <c r="F15" s="10" t="s">
        <v>66</v>
      </c>
      <c r="G15" s="10" t="s">
        <v>67</v>
      </c>
      <c r="H15" s="10" t="s">
        <v>68</v>
      </c>
      <c r="I15" s="12" t="s">
        <v>69</v>
      </c>
      <c r="J15" s="10" t="s">
        <v>70</v>
      </c>
      <c r="K15" s="10" t="s">
        <v>30</v>
      </c>
    </row>
    <row r="16">
      <c r="A16" s="10" t="s">
        <v>71</v>
      </c>
      <c r="B16" s="10" t="s">
        <v>63</v>
      </c>
      <c r="C16" s="10" t="s">
        <v>64</v>
      </c>
      <c r="D16" s="10" t="s">
        <v>65</v>
      </c>
      <c r="E16" s="10" t="s">
        <v>49</v>
      </c>
      <c r="F16" s="10" t="s">
        <v>72</v>
      </c>
      <c r="G16" s="10" t="s">
        <v>73</v>
      </c>
      <c r="H16" s="10" t="s">
        <v>74</v>
      </c>
      <c r="I16" s="11"/>
      <c r="J16" s="10"/>
      <c r="K16" s="10" t="s">
        <v>40</v>
      </c>
    </row>
    <row r="17">
      <c r="A17" s="10" t="s">
        <v>75</v>
      </c>
      <c r="B17" s="10" t="s">
        <v>76</v>
      </c>
      <c r="C17" s="10" t="s">
        <v>64</v>
      </c>
      <c r="D17" s="10" t="s">
        <v>34</v>
      </c>
      <c r="E17" s="10" t="s">
        <v>77</v>
      </c>
      <c r="F17" s="10" t="s">
        <v>78</v>
      </c>
      <c r="G17" s="10" t="s">
        <v>79</v>
      </c>
      <c r="H17" s="10" t="s">
        <v>80</v>
      </c>
      <c r="I17" s="11"/>
      <c r="J17" s="10" t="s">
        <v>81</v>
      </c>
      <c r="K17" s="10" t="s">
        <v>40</v>
      </c>
    </row>
    <row r="18">
      <c r="A18" s="10" t="s">
        <v>82</v>
      </c>
      <c r="B18" s="10" t="s">
        <v>83</v>
      </c>
      <c r="C18" s="10" t="s">
        <v>33</v>
      </c>
      <c r="D18" s="10" t="s">
        <v>34</v>
      </c>
      <c r="E18" s="10" t="s">
        <v>77</v>
      </c>
      <c r="F18" s="10" t="s">
        <v>84</v>
      </c>
      <c r="G18" s="10" t="s">
        <v>85</v>
      </c>
      <c r="H18" s="10" t="s">
        <v>86</v>
      </c>
      <c r="I18" s="12" t="s">
        <v>87</v>
      </c>
      <c r="J18" s="10" t="s">
        <v>88</v>
      </c>
      <c r="K18" s="10" t="s">
        <v>30</v>
      </c>
    </row>
    <row r="19">
      <c r="A19" s="10" t="s">
        <v>89</v>
      </c>
      <c r="B19" s="10" t="s">
        <v>90</v>
      </c>
      <c r="C19" s="10" t="s">
        <v>33</v>
      </c>
      <c r="D19" s="10" t="s">
        <v>34</v>
      </c>
      <c r="E19" s="10" t="s">
        <v>77</v>
      </c>
      <c r="F19" s="10" t="s">
        <v>91</v>
      </c>
      <c r="G19" s="10" t="s">
        <v>92</v>
      </c>
      <c r="H19" s="10" t="s">
        <v>93</v>
      </c>
      <c r="I19" s="12" t="s">
        <v>94</v>
      </c>
      <c r="J19" s="10" t="s">
        <v>95</v>
      </c>
      <c r="K19" s="10" t="s">
        <v>30</v>
      </c>
    </row>
    <row r="20">
      <c r="A20" s="10" t="s">
        <v>96</v>
      </c>
      <c r="B20" s="10" t="s">
        <v>97</v>
      </c>
      <c r="C20" s="10" t="s">
        <v>98</v>
      </c>
      <c r="D20" s="10" t="s">
        <v>99</v>
      </c>
      <c r="E20" s="10" t="s">
        <v>77</v>
      </c>
      <c r="F20" s="10" t="s">
        <v>100</v>
      </c>
      <c r="G20" s="10" t="s">
        <v>101</v>
      </c>
      <c r="H20" s="13" t="s">
        <v>102</v>
      </c>
      <c r="I20" s="11"/>
      <c r="J20" s="10" t="s">
        <v>103</v>
      </c>
      <c r="K20" s="10" t="s">
        <v>40</v>
      </c>
    </row>
    <row r="21">
      <c r="A21" s="10" t="s">
        <v>104</v>
      </c>
      <c r="B21" s="10" t="s">
        <v>105</v>
      </c>
      <c r="C21" s="10" t="s">
        <v>98</v>
      </c>
      <c r="D21" s="10" t="s">
        <v>34</v>
      </c>
      <c r="E21" s="10" t="s">
        <v>77</v>
      </c>
      <c r="F21" s="10" t="s">
        <v>106</v>
      </c>
      <c r="G21" s="10" t="s">
        <v>107</v>
      </c>
      <c r="H21" s="10" t="s">
        <v>108</v>
      </c>
      <c r="I21" s="12" t="s">
        <v>109</v>
      </c>
      <c r="J21" s="10" t="s">
        <v>110</v>
      </c>
      <c r="K21" s="10" t="s">
        <v>30</v>
      </c>
    </row>
    <row r="22">
      <c r="A22" s="10" t="s">
        <v>111</v>
      </c>
      <c r="B22" s="10" t="s">
        <v>112</v>
      </c>
      <c r="C22" s="10" t="s">
        <v>33</v>
      </c>
      <c r="D22" s="10" t="s">
        <v>34</v>
      </c>
      <c r="E22" s="10" t="s">
        <v>77</v>
      </c>
      <c r="F22" s="10" t="s">
        <v>113</v>
      </c>
      <c r="G22" s="10" t="s">
        <v>114</v>
      </c>
      <c r="H22" s="10" t="s">
        <v>115</v>
      </c>
      <c r="I22" s="12" t="s">
        <v>116</v>
      </c>
      <c r="J22" s="10" t="s">
        <v>117</v>
      </c>
      <c r="K22" s="10" t="s">
        <v>30</v>
      </c>
    </row>
    <row r="23">
      <c r="A23" s="10" t="s">
        <v>118</v>
      </c>
      <c r="B23" s="10" t="s">
        <v>119</v>
      </c>
      <c r="C23" s="10" t="s">
        <v>33</v>
      </c>
      <c r="D23" s="10" t="s">
        <v>34</v>
      </c>
      <c r="E23" s="10" t="s">
        <v>120</v>
      </c>
      <c r="F23" s="10" t="s">
        <v>121</v>
      </c>
      <c r="G23" s="10" t="s">
        <v>122</v>
      </c>
      <c r="H23" s="10" t="s">
        <v>74</v>
      </c>
      <c r="I23" s="14"/>
      <c r="J23" s="14"/>
      <c r="K23" s="10" t="s">
        <v>40</v>
      </c>
    </row>
    <row r="24">
      <c r="A24" s="10" t="s">
        <v>123</v>
      </c>
      <c r="B24" s="10" t="s">
        <v>124</v>
      </c>
      <c r="C24" s="10" t="s">
        <v>33</v>
      </c>
      <c r="D24" s="10" t="s">
        <v>65</v>
      </c>
      <c r="E24" s="10" t="s">
        <v>125</v>
      </c>
      <c r="F24" s="10" t="s">
        <v>126</v>
      </c>
      <c r="G24" s="10" t="s">
        <v>127</v>
      </c>
      <c r="H24" s="10" t="s">
        <v>128</v>
      </c>
      <c r="I24" s="14"/>
      <c r="J24" s="14"/>
      <c r="K24" s="10" t="s">
        <v>40</v>
      </c>
    </row>
    <row r="25">
      <c r="A25" s="10" t="s">
        <v>129</v>
      </c>
      <c r="B25" s="10" t="s">
        <v>130</v>
      </c>
      <c r="C25" s="10" t="s">
        <v>33</v>
      </c>
      <c r="D25" s="10" t="s">
        <v>65</v>
      </c>
      <c r="E25" s="10" t="s">
        <v>125</v>
      </c>
      <c r="F25" s="10" t="s">
        <v>131</v>
      </c>
      <c r="G25" s="10" t="s">
        <v>132</v>
      </c>
      <c r="H25" s="10" t="s">
        <v>133</v>
      </c>
      <c r="I25" s="14"/>
      <c r="J25" s="14"/>
      <c r="K25" s="10" t="s">
        <v>40</v>
      </c>
    </row>
    <row r="26">
      <c r="A26" s="10" t="s">
        <v>134</v>
      </c>
      <c r="B26" s="10" t="s">
        <v>135</v>
      </c>
      <c r="C26" s="10" t="s">
        <v>64</v>
      </c>
      <c r="D26" s="10" t="s">
        <v>65</v>
      </c>
      <c r="E26" s="10" t="s">
        <v>125</v>
      </c>
      <c r="F26" s="10" t="s">
        <v>136</v>
      </c>
      <c r="G26" s="10" t="s">
        <v>137</v>
      </c>
      <c r="H26" s="10" t="s">
        <v>138</v>
      </c>
      <c r="I26" s="12" t="s">
        <v>139</v>
      </c>
      <c r="J26" s="14"/>
      <c r="K26" s="10" t="s">
        <v>30</v>
      </c>
    </row>
    <row r="27">
      <c r="A27" s="10" t="s">
        <v>140</v>
      </c>
      <c r="B27" s="10" t="s">
        <v>141</v>
      </c>
      <c r="C27" s="10" t="s">
        <v>64</v>
      </c>
      <c r="D27" s="10" t="s">
        <v>65</v>
      </c>
      <c r="E27" s="10" t="s">
        <v>125</v>
      </c>
      <c r="F27" s="10" t="s">
        <v>142</v>
      </c>
      <c r="G27" s="10" t="s">
        <v>143</v>
      </c>
      <c r="H27" s="10" t="s">
        <v>144</v>
      </c>
      <c r="I27" s="12" t="s">
        <v>145</v>
      </c>
      <c r="J27" s="14"/>
      <c r="K27" s="10" t="s">
        <v>30</v>
      </c>
    </row>
    <row r="28">
      <c r="A28" s="10" t="s">
        <v>146</v>
      </c>
      <c r="B28" s="10" t="s">
        <v>147</v>
      </c>
      <c r="C28" s="10" t="s">
        <v>64</v>
      </c>
      <c r="D28" s="10" t="s">
        <v>65</v>
      </c>
      <c r="E28" s="10" t="s">
        <v>125</v>
      </c>
      <c r="F28" s="10" t="s">
        <v>148</v>
      </c>
      <c r="G28" s="10" t="s">
        <v>149</v>
      </c>
      <c r="H28" s="10" t="s">
        <v>150</v>
      </c>
      <c r="I28" s="14"/>
      <c r="J28" s="14"/>
      <c r="K28" s="10" t="s">
        <v>40</v>
      </c>
    </row>
    <row r="29">
      <c r="A29" s="10" t="s">
        <v>151</v>
      </c>
      <c r="B29" s="10" t="s">
        <v>152</v>
      </c>
      <c r="C29" s="10" t="s">
        <v>33</v>
      </c>
      <c r="D29" s="10" t="s">
        <v>65</v>
      </c>
      <c r="E29" s="10" t="s">
        <v>125</v>
      </c>
      <c r="F29" s="10" t="s">
        <v>153</v>
      </c>
      <c r="G29" s="10" t="s">
        <v>154</v>
      </c>
      <c r="H29" s="10" t="s">
        <v>155</v>
      </c>
      <c r="I29" s="12" t="s">
        <v>156</v>
      </c>
      <c r="J29" s="14"/>
      <c r="K29" s="10" t="s">
        <v>30</v>
      </c>
    </row>
    <row r="30">
      <c r="A30" s="10" t="s">
        <v>157</v>
      </c>
      <c r="B30" s="10" t="s">
        <v>158</v>
      </c>
      <c r="C30" s="10" t="s">
        <v>33</v>
      </c>
      <c r="D30" s="10" t="s">
        <v>65</v>
      </c>
      <c r="E30" s="10" t="s">
        <v>125</v>
      </c>
      <c r="F30" s="10" t="s">
        <v>159</v>
      </c>
      <c r="G30" s="10" t="s">
        <v>160</v>
      </c>
      <c r="H30" s="10" t="s">
        <v>161</v>
      </c>
      <c r="I30" s="12" t="s">
        <v>162</v>
      </c>
      <c r="J30" s="14"/>
      <c r="K30" s="10" t="s">
        <v>30</v>
      </c>
    </row>
    <row r="31">
      <c r="A31" s="10" t="s">
        <v>163</v>
      </c>
      <c r="B31" s="10" t="s">
        <v>164</v>
      </c>
      <c r="C31" s="10" t="s">
        <v>33</v>
      </c>
      <c r="D31" s="10" t="s">
        <v>34</v>
      </c>
      <c r="E31" s="10" t="s">
        <v>125</v>
      </c>
      <c r="F31" s="10" t="s">
        <v>165</v>
      </c>
      <c r="G31" s="10" t="s">
        <v>166</v>
      </c>
      <c r="H31" s="10" t="s">
        <v>167</v>
      </c>
      <c r="I31" s="14"/>
      <c r="J31" s="14"/>
      <c r="K31" s="10" t="s">
        <v>40</v>
      </c>
    </row>
    <row r="32" ht="39.75" customHeight="1">
      <c r="A32" s="10" t="s">
        <v>168</v>
      </c>
      <c r="B32" s="10" t="s">
        <v>169</v>
      </c>
      <c r="C32" s="10" t="s">
        <v>33</v>
      </c>
      <c r="D32" s="10" t="s">
        <v>34</v>
      </c>
      <c r="E32" s="10" t="s">
        <v>125</v>
      </c>
      <c r="F32" s="10" t="s">
        <v>170</v>
      </c>
      <c r="G32" s="10" t="s">
        <v>171</v>
      </c>
      <c r="H32" s="10" t="s">
        <v>172</v>
      </c>
      <c r="I32" s="14"/>
      <c r="J32" s="14"/>
      <c r="K32" s="10" t="s">
        <v>40</v>
      </c>
    </row>
    <row r="33">
      <c r="A33" s="10" t="s">
        <v>173</v>
      </c>
      <c r="B33" s="10" t="s">
        <v>174</v>
      </c>
      <c r="C33" s="10" t="s">
        <v>33</v>
      </c>
      <c r="D33" s="10" t="s">
        <v>34</v>
      </c>
      <c r="E33" s="10" t="s">
        <v>175</v>
      </c>
      <c r="F33" s="10" t="s">
        <v>176</v>
      </c>
      <c r="G33" s="10" t="s">
        <v>177</v>
      </c>
      <c r="H33" s="10" t="s">
        <v>178</v>
      </c>
      <c r="I33" s="12" t="s">
        <v>179</v>
      </c>
      <c r="J33" s="14"/>
      <c r="K33" s="10" t="s">
        <v>30</v>
      </c>
    </row>
    <row r="34">
      <c r="A34" s="10" t="s">
        <v>180</v>
      </c>
      <c r="B34" s="10" t="s">
        <v>181</v>
      </c>
      <c r="C34" s="10" t="s">
        <v>33</v>
      </c>
      <c r="D34" s="10" t="s">
        <v>34</v>
      </c>
      <c r="E34" s="10" t="s">
        <v>182</v>
      </c>
      <c r="F34" s="10" t="s">
        <v>183</v>
      </c>
      <c r="G34" s="10" t="s">
        <v>184</v>
      </c>
      <c r="H34" s="10" t="s">
        <v>185</v>
      </c>
      <c r="I34" s="14"/>
      <c r="J34" s="14"/>
      <c r="K34" s="10" t="s">
        <v>40</v>
      </c>
    </row>
    <row r="35" ht="39.75" customHeight="1">
      <c r="A35" s="10" t="s">
        <v>186</v>
      </c>
      <c r="B35" s="10" t="s">
        <v>187</v>
      </c>
      <c r="C35" s="10" t="s">
        <v>33</v>
      </c>
      <c r="D35" s="10" t="s">
        <v>34</v>
      </c>
      <c r="E35" s="10" t="s">
        <v>182</v>
      </c>
      <c r="F35" s="10" t="s">
        <v>188</v>
      </c>
      <c r="G35" s="10" t="s">
        <v>189</v>
      </c>
      <c r="H35" s="10" t="s">
        <v>190</v>
      </c>
      <c r="I35" s="14"/>
      <c r="J35" s="14"/>
      <c r="K35" s="10" t="s">
        <v>191</v>
      </c>
    </row>
    <row r="36">
      <c r="A36" s="10" t="s">
        <v>192</v>
      </c>
      <c r="B36" s="10" t="s">
        <v>193</v>
      </c>
      <c r="C36" s="10" t="s">
        <v>64</v>
      </c>
      <c r="D36" s="10" t="s">
        <v>194</v>
      </c>
      <c r="E36" s="10" t="s">
        <v>195</v>
      </c>
      <c r="F36" s="10" t="s">
        <v>196</v>
      </c>
      <c r="G36" s="10" t="s">
        <v>197</v>
      </c>
      <c r="H36" s="10" t="s">
        <v>198</v>
      </c>
      <c r="I36" s="14"/>
      <c r="J36" s="10" t="s">
        <v>199</v>
      </c>
      <c r="K36" s="10" t="s">
        <v>40</v>
      </c>
    </row>
    <row r="37" ht="15.75" customHeight="1">
      <c r="A37" s="10" t="s">
        <v>200</v>
      </c>
      <c r="B37" s="10" t="s">
        <v>201</v>
      </c>
      <c r="C37" s="10" t="s">
        <v>64</v>
      </c>
      <c r="D37" s="10" t="s">
        <v>194</v>
      </c>
      <c r="E37" s="10" t="s">
        <v>202</v>
      </c>
      <c r="F37" s="10" t="s">
        <v>203</v>
      </c>
      <c r="G37" s="10" t="s">
        <v>204</v>
      </c>
      <c r="H37" s="10" t="s">
        <v>205</v>
      </c>
      <c r="I37" s="14"/>
      <c r="J37" s="10"/>
      <c r="K37" s="10" t="s">
        <v>40</v>
      </c>
    </row>
    <row r="38" ht="15.75" customHeight="1">
      <c r="A38" s="10" t="s">
        <v>206</v>
      </c>
      <c r="B38" s="10" t="s">
        <v>207</v>
      </c>
      <c r="C38" s="10" t="s">
        <v>33</v>
      </c>
      <c r="D38" s="10" t="s">
        <v>208</v>
      </c>
      <c r="E38" s="10" t="s">
        <v>209</v>
      </c>
      <c r="F38" s="10" t="s">
        <v>210</v>
      </c>
      <c r="G38" s="10" t="s">
        <v>211</v>
      </c>
      <c r="H38" s="10" t="s">
        <v>212</v>
      </c>
      <c r="I38" s="14"/>
      <c r="J38" s="14"/>
      <c r="K38" s="10" t="s">
        <v>40</v>
      </c>
    </row>
    <row r="39" ht="15.75" customHeight="1">
      <c r="A39" s="10" t="s">
        <v>213</v>
      </c>
      <c r="B39" s="10" t="s">
        <v>214</v>
      </c>
      <c r="C39" s="10" t="s">
        <v>33</v>
      </c>
      <c r="D39" s="10" t="s">
        <v>208</v>
      </c>
      <c r="E39" s="10" t="s">
        <v>209</v>
      </c>
      <c r="F39" s="10" t="s">
        <v>215</v>
      </c>
      <c r="G39" s="10" t="s">
        <v>216</v>
      </c>
      <c r="H39" s="10" t="s">
        <v>217</v>
      </c>
      <c r="I39" s="14"/>
      <c r="J39" s="14"/>
      <c r="K39" s="10" t="s">
        <v>40</v>
      </c>
    </row>
    <row r="40" ht="15.75" customHeight="1">
      <c r="A40" s="10" t="s">
        <v>218</v>
      </c>
      <c r="B40" s="10" t="s">
        <v>219</v>
      </c>
      <c r="C40" s="10" t="s">
        <v>33</v>
      </c>
      <c r="D40" s="10" t="s">
        <v>208</v>
      </c>
      <c r="E40" s="10" t="s">
        <v>209</v>
      </c>
      <c r="F40" s="10" t="s">
        <v>220</v>
      </c>
      <c r="G40" s="10" t="s">
        <v>221</v>
      </c>
      <c r="H40" s="10" t="s">
        <v>222</v>
      </c>
      <c r="I40" s="14"/>
      <c r="J40" s="14"/>
      <c r="K40" s="10" t="s">
        <v>40</v>
      </c>
    </row>
    <row r="41" ht="15.75" customHeight="1">
      <c r="A41" s="10" t="s">
        <v>223</v>
      </c>
      <c r="B41" s="10" t="s">
        <v>224</v>
      </c>
      <c r="C41" s="10" t="s">
        <v>64</v>
      </c>
      <c r="D41" s="10" t="s">
        <v>208</v>
      </c>
      <c r="E41" s="10" t="s">
        <v>209</v>
      </c>
      <c r="F41" s="10" t="s">
        <v>225</v>
      </c>
      <c r="G41" s="10" t="s">
        <v>226</v>
      </c>
      <c r="H41" s="10" t="s">
        <v>227</v>
      </c>
      <c r="I41" s="12" t="s">
        <v>228</v>
      </c>
      <c r="J41" s="10" t="s">
        <v>229</v>
      </c>
      <c r="K41" s="10" t="s">
        <v>30</v>
      </c>
    </row>
    <row r="42" ht="15.75" customHeight="1">
      <c r="A42" s="10" t="s">
        <v>230</v>
      </c>
      <c r="B42" s="10" t="s">
        <v>231</v>
      </c>
      <c r="C42" s="10" t="s">
        <v>64</v>
      </c>
      <c r="D42" s="10" t="s">
        <v>208</v>
      </c>
      <c r="E42" s="10" t="s">
        <v>209</v>
      </c>
      <c r="F42" s="10" t="s">
        <v>232</v>
      </c>
      <c r="G42" s="10" t="s">
        <v>233</v>
      </c>
      <c r="H42" s="10" t="s">
        <v>234</v>
      </c>
      <c r="I42" s="12" t="s">
        <v>235</v>
      </c>
      <c r="J42" s="10" t="s">
        <v>229</v>
      </c>
      <c r="K42" s="10" t="s">
        <v>30</v>
      </c>
    </row>
    <row r="43" ht="15.75" customHeight="1">
      <c r="A43" s="10" t="s">
        <v>236</v>
      </c>
      <c r="B43" s="10" t="s">
        <v>237</v>
      </c>
      <c r="C43" s="10" t="s">
        <v>64</v>
      </c>
      <c r="D43" s="10" t="s">
        <v>208</v>
      </c>
      <c r="E43" s="10" t="s">
        <v>209</v>
      </c>
      <c r="F43" s="10" t="s">
        <v>238</v>
      </c>
      <c r="G43" s="10" t="s">
        <v>239</v>
      </c>
      <c r="H43" s="10" t="s">
        <v>240</v>
      </c>
      <c r="I43" s="12" t="s">
        <v>241</v>
      </c>
      <c r="J43" s="10"/>
      <c r="K43" s="10" t="s">
        <v>30</v>
      </c>
    </row>
    <row r="44" ht="15.75" customHeight="1">
      <c r="A44" s="10" t="s">
        <v>242</v>
      </c>
      <c r="B44" s="10" t="s">
        <v>243</v>
      </c>
      <c r="C44" s="10" t="s">
        <v>33</v>
      </c>
      <c r="D44" s="10" t="s">
        <v>208</v>
      </c>
      <c r="E44" s="10" t="s">
        <v>209</v>
      </c>
      <c r="F44" s="10" t="s">
        <v>244</v>
      </c>
      <c r="G44" s="10" t="s">
        <v>245</v>
      </c>
      <c r="H44" s="10" t="s">
        <v>246</v>
      </c>
      <c r="I44" s="12" t="s">
        <v>247</v>
      </c>
      <c r="J44" s="14"/>
      <c r="K44" s="10" t="s">
        <v>30</v>
      </c>
    </row>
    <row r="45" ht="15.75" customHeight="1">
      <c r="A45" s="10" t="s">
        <v>248</v>
      </c>
      <c r="B45" s="10" t="s">
        <v>249</v>
      </c>
      <c r="C45" s="10" t="s">
        <v>33</v>
      </c>
      <c r="D45" s="10" t="s">
        <v>250</v>
      </c>
      <c r="E45" s="10" t="s">
        <v>209</v>
      </c>
      <c r="F45" s="10" t="s">
        <v>251</v>
      </c>
      <c r="G45" s="10" t="s">
        <v>252</v>
      </c>
      <c r="H45" s="10" t="s">
        <v>253</v>
      </c>
      <c r="I45" s="14"/>
      <c r="J45" s="14"/>
      <c r="K45" s="10" t="s">
        <v>40</v>
      </c>
    </row>
    <row r="46" ht="15.75" customHeight="1">
      <c r="A46" s="10" t="s">
        <v>254</v>
      </c>
      <c r="B46" s="10" t="s">
        <v>255</v>
      </c>
      <c r="C46" s="10" t="s">
        <v>33</v>
      </c>
      <c r="D46" s="10" t="s">
        <v>250</v>
      </c>
      <c r="E46" s="10" t="s">
        <v>209</v>
      </c>
      <c r="F46" s="10" t="s">
        <v>256</v>
      </c>
      <c r="G46" s="10" t="s">
        <v>257</v>
      </c>
      <c r="H46" s="10" t="s">
        <v>258</v>
      </c>
      <c r="I46" s="14"/>
      <c r="J46" s="14"/>
      <c r="K46" s="10" t="s">
        <v>40</v>
      </c>
    </row>
    <row r="47" ht="15.75" customHeight="1">
      <c r="A47" s="10" t="s">
        <v>259</v>
      </c>
      <c r="B47" s="10" t="s">
        <v>260</v>
      </c>
      <c r="C47" s="10" t="s">
        <v>64</v>
      </c>
      <c r="D47" s="10" t="s">
        <v>250</v>
      </c>
      <c r="E47" s="10" t="s">
        <v>261</v>
      </c>
      <c r="F47" s="10" t="s">
        <v>262</v>
      </c>
      <c r="G47" s="10" t="s">
        <v>263</v>
      </c>
      <c r="H47" s="10" t="s">
        <v>264</v>
      </c>
      <c r="I47" s="12" t="s">
        <v>265</v>
      </c>
      <c r="J47" s="14"/>
      <c r="K47" s="10" t="s">
        <v>30</v>
      </c>
    </row>
    <row r="48" ht="15.75" customHeight="1">
      <c r="A48" s="10" t="s">
        <v>266</v>
      </c>
      <c r="B48" s="10" t="s">
        <v>267</v>
      </c>
      <c r="C48" s="10" t="s">
        <v>33</v>
      </c>
      <c r="D48" s="10" t="s">
        <v>268</v>
      </c>
      <c r="E48" s="10" t="s">
        <v>209</v>
      </c>
      <c r="F48" s="10" t="s">
        <v>269</v>
      </c>
      <c r="G48" s="10" t="s">
        <v>270</v>
      </c>
      <c r="H48" s="10" t="s">
        <v>271</v>
      </c>
      <c r="I48" s="14"/>
      <c r="J48" s="14"/>
      <c r="K48" s="10" t="s">
        <v>40</v>
      </c>
    </row>
    <row r="49" ht="15.75" customHeight="1">
      <c r="A49" s="10" t="s">
        <v>272</v>
      </c>
      <c r="B49" s="10" t="s">
        <v>273</v>
      </c>
      <c r="C49" s="10" t="s">
        <v>33</v>
      </c>
      <c r="D49" s="10" t="s">
        <v>268</v>
      </c>
      <c r="E49" s="10" t="s">
        <v>209</v>
      </c>
      <c r="F49" s="10" t="s">
        <v>274</v>
      </c>
      <c r="G49" s="10" t="s">
        <v>275</v>
      </c>
      <c r="H49" s="10" t="s">
        <v>276</v>
      </c>
      <c r="I49" s="14"/>
      <c r="J49" s="14"/>
      <c r="K49" s="10" t="s">
        <v>40</v>
      </c>
    </row>
    <row r="50" ht="15.75" customHeight="1">
      <c r="A50" s="10" t="s">
        <v>277</v>
      </c>
      <c r="B50" s="10" t="s">
        <v>278</v>
      </c>
      <c r="C50" s="10" t="s">
        <v>33</v>
      </c>
      <c r="D50" s="10" t="s">
        <v>268</v>
      </c>
      <c r="E50" s="10" t="s">
        <v>209</v>
      </c>
      <c r="F50" s="10" t="s">
        <v>279</v>
      </c>
      <c r="G50" s="10" t="s">
        <v>280</v>
      </c>
      <c r="H50" s="10" t="s">
        <v>281</v>
      </c>
      <c r="I50" s="14"/>
      <c r="J50" s="14"/>
      <c r="K50" s="10" t="s">
        <v>40</v>
      </c>
    </row>
    <row r="51" ht="15.75" customHeight="1">
      <c r="A51" s="10" t="s">
        <v>282</v>
      </c>
      <c r="B51" s="10" t="s">
        <v>283</v>
      </c>
      <c r="C51" s="10" t="s">
        <v>98</v>
      </c>
      <c r="D51" s="10" t="s">
        <v>34</v>
      </c>
      <c r="E51" s="10" t="s">
        <v>284</v>
      </c>
      <c r="F51" s="10" t="s">
        <v>285</v>
      </c>
      <c r="G51" s="10" t="s">
        <v>286</v>
      </c>
      <c r="H51" s="10" t="s">
        <v>287</v>
      </c>
      <c r="I51" s="12" t="s">
        <v>288</v>
      </c>
      <c r="J51" s="14"/>
      <c r="K51" s="10" t="s">
        <v>30</v>
      </c>
    </row>
    <row r="52" ht="15.75" customHeight="1">
      <c r="A52" s="10" t="s">
        <v>289</v>
      </c>
      <c r="B52" s="10" t="s">
        <v>290</v>
      </c>
      <c r="C52" s="10" t="s">
        <v>98</v>
      </c>
      <c r="D52" s="10" t="s">
        <v>34</v>
      </c>
      <c r="E52" s="10" t="s">
        <v>49</v>
      </c>
      <c r="F52" s="10" t="s">
        <v>291</v>
      </c>
      <c r="G52" s="10" t="s">
        <v>292</v>
      </c>
      <c r="H52" s="10" t="s">
        <v>293</v>
      </c>
      <c r="I52" s="12" t="s">
        <v>294</v>
      </c>
      <c r="J52" s="14"/>
      <c r="K52" s="10" t="s">
        <v>30</v>
      </c>
    </row>
    <row r="53" ht="15.75" customHeight="1">
      <c r="A53" s="10" t="s">
        <v>295</v>
      </c>
      <c r="B53" s="10" t="s">
        <v>296</v>
      </c>
      <c r="C53" s="10" t="s">
        <v>33</v>
      </c>
      <c r="D53" s="10" t="s">
        <v>208</v>
      </c>
      <c r="E53" s="10" t="s">
        <v>209</v>
      </c>
      <c r="F53" s="10" t="s">
        <v>297</v>
      </c>
      <c r="G53" s="10" t="s">
        <v>298</v>
      </c>
      <c r="H53" s="10" t="s">
        <v>299</v>
      </c>
      <c r="I53" s="12" t="s">
        <v>300</v>
      </c>
      <c r="J53" s="14"/>
      <c r="K53" s="10" t="s">
        <v>30</v>
      </c>
    </row>
    <row r="54" ht="15.75" customHeight="1">
      <c r="A54" s="10" t="s">
        <v>301</v>
      </c>
      <c r="B54" s="10" t="s">
        <v>302</v>
      </c>
      <c r="C54" s="10" t="s">
        <v>33</v>
      </c>
      <c r="D54" s="10" t="s">
        <v>250</v>
      </c>
      <c r="E54" s="10" t="s">
        <v>209</v>
      </c>
      <c r="F54" s="10" t="s">
        <v>303</v>
      </c>
      <c r="G54" s="10" t="s">
        <v>304</v>
      </c>
      <c r="H54" s="10" t="s">
        <v>305</v>
      </c>
      <c r="I54" s="12" t="s">
        <v>306</v>
      </c>
      <c r="J54" s="14"/>
      <c r="K54" s="10" t="s">
        <v>30</v>
      </c>
    </row>
    <row r="55" ht="15.75" customHeight="1">
      <c r="A55" s="10" t="s">
        <v>307</v>
      </c>
      <c r="B55" s="10" t="s">
        <v>308</v>
      </c>
      <c r="C55" s="10" t="s">
        <v>33</v>
      </c>
      <c r="D55" s="10" t="s">
        <v>208</v>
      </c>
      <c r="E55" s="10" t="s">
        <v>209</v>
      </c>
      <c r="F55" s="10" t="s">
        <v>309</v>
      </c>
      <c r="G55" s="10" t="s">
        <v>310</v>
      </c>
      <c r="H55" s="10" t="s">
        <v>311</v>
      </c>
      <c r="I55" s="12" t="s">
        <v>312</v>
      </c>
      <c r="J55" s="14"/>
      <c r="K55" s="10" t="s">
        <v>30</v>
      </c>
    </row>
    <row r="56" ht="15.75" customHeight="1">
      <c r="A56" s="10" t="s">
        <v>313</v>
      </c>
      <c r="B56" s="10" t="s">
        <v>314</v>
      </c>
      <c r="C56" s="10" t="s">
        <v>64</v>
      </c>
      <c r="D56" s="10" t="s">
        <v>34</v>
      </c>
      <c r="E56" s="10" t="s">
        <v>261</v>
      </c>
      <c r="F56" s="10" t="s">
        <v>315</v>
      </c>
      <c r="G56" s="10" t="s">
        <v>316</v>
      </c>
      <c r="H56" s="10" t="s">
        <v>317</v>
      </c>
      <c r="I56" s="14"/>
      <c r="J56" s="14"/>
      <c r="K56" s="10" t="s">
        <v>40</v>
      </c>
    </row>
    <row r="57" ht="15.75" customHeight="1">
      <c r="A57" s="10" t="s">
        <v>318</v>
      </c>
      <c r="B57" s="10" t="s">
        <v>319</v>
      </c>
      <c r="C57" s="10" t="s">
        <v>64</v>
      </c>
      <c r="D57" s="10" t="s">
        <v>34</v>
      </c>
      <c r="E57" s="10" t="s">
        <v>261</v>
      </c>
      <c r="F57" s="10" t="s">
        <v>320</v>
      </c>
      <c r="G57" s="10" t="s">
        <v>321</v>
      </c>
      <c r="H57" s="10" t="s">
        <v>322</v>
      </c>
      <c r="I57" s="14"/>
      <c r="J57" s="14"/>
      <c r="K57" s="10" t="s">
        <v>40</v>
      </c>
    </row>
    <row r="58" ht="15.75" customHeight="1">
      <c r="A58" s="10" t="s">
        <v>323</v>
      </c>
      <c r="B58" s="10" t="s">
        <v>324</v>
      </c>
      <c r="C58" s="10" t="s">
        <v>64</v>
      </c>
      <c r="D58" s="10" t="s">
        <v>208</v>
      </c>
      <c r="E58" s="10" t="s">
        <v>209</v>
      </c>
      <c r="F58" s="10" t="s">
        <v>325</v>
      </c>
      <c r="G58" s="10" t="s">
        <v>326</v>
      </c>
      <c r="H58" s="10" t="s">
        <v>327</v>
      </c>
      <c r="I58" s="12" t="s">
        <v>328</v>
      </c>
      <c r="J58" s="14"/>
      <c r="K58" s="10" t="s">
        <v>30</v>
      </c>
    </row>
    <row r="59" ht="15.75" customHeight="1">
      <c r="A59" s="10"/>
      <c r="B59" s="14"/>
      <c r="C59" s="14"/>
      <c r="D59" s="14"/>
      <c r="E59" s="14"/>
      <c r="F59" s="14"/>
      <c r="G59" s="14"/>
      <c r="H59" s="14"/>
      <c r="I59" s="14"/>
      <c r="J59" s="14"/>
      <c r="K59" s="14"/>
    </row>
    <row r="60" ht="15.75" customHeight="1">
      <c r="A60" s="10"/>
      <c r="B60" s="14"/>
      <c r="C60" s="14"/>
      <c r="D60" s="14"/>
      <c r="E60" s="14"/>
      <c r="F60" s="14"/>
      <c r="G60" s="14"/>
      <c r="H60" s="14"/>
      <c r="I60" s="14"/>
      <c r="J60" s="14"/>
      <c r="K60" s="14"/>
    </row>
    <row r="61" ht="15.75" customHeight="1">
      <c r="A61" s="10"/>
      <c r="B61" s="14"/>
      <c r="C61" s="14"/>
      <c r="D61" s="14"/>
      <c r="E61" s="14"/>
      <c r="F61" s="14"/>
      <c r="G61" s="14"/>
      <c r="H61" s="14"/>
      <c r="I61" s="14"/>
      <c r="J61" s="14"/>
      <c r="K61" s="14"/>
    </row>
    <row r="62" ht="15.75" customHeight="1">
      <c r="A62" s="10"/>
      <c r="B62" s="14"/>
      <c r="C62" s="14"/>
      <c r="D62" s="14"/>
      <c r="E62" s="14"/>
      <c r="F62" s="14"/>
      <c r="G62" s="14"/>
      <c r="H62" s="14"/>
      <c r="I62" s="14"/>
      <c r="J62" s="14"/>
      <c r="K62" s="14"/>
    </row>
    <row r="63" ht="15.75" customHeight="1">
      <c r="A63" s="10"/>
      <c r="B63" s="14"/>
      <c r="C63" s="14"/>
      <c r="D63" s="14"/>
      <c r="E63" s="14"/>
      <c r="F63" s="14"/>
      <c r="G63" s="14"/>
      <c r="H63" s="14"/>
      <c r="I63" s="14"/>
      <c r="J63" s="14"/>
      <c r="K63" s="14"/>
    </row>
    <row r="64" ht="15.75" customHeight="1">
      <c r="A64" s="10"/>
      <c r="B64" s="14"/>
      <c r="C64" s="14"/>
      <c r="D64" s="14"/>
      <c r="E64" s="14"/>
      <c r="F64" s="14"/>
      <c r="G64" s="14"/>
      <c r="H64" s="14"/>
      <c r="I64" s="14"/>
      <c r="J64" s="14"/>
      <c r="K64" s="14"/>
    </row>
    <row r="65" ht="15.75" customHeight="1">
      <c r="A65" s="10"/>
      <c r="B65" s="14"/>
      <c r="C65" s="14"/>
      <c r="D65" s="14"/>
      <c r="E65" s="14"/>
      <c r="F65" s="14"/>
      <c r="G65" s="14"/>
      <c r="H65" s="14"/>
      <c r="I65" s="14"/>
      <c r="J65" s="14"/>
      <c r="K65" s="14"/>
    </row>
    <row r="66" ht="15.75" customHeight="1">
      <c r="A66" s="10"/>
      <c r="B66" s="14"/>
      <c r="C66" s="14"/>
      <c r="D66" s="14"/>
      <c r="E66" s="14"/>
      <c r="F66" s="14"/>
      <c r="G66" s="14"/>
      <c r="H66" s="14"/>
      <c r="I66" s="14"/>
      <c r="J66" s="14"/>
      <c r="K66" s="14"/>
    </row>
    <row r="67" ht="15.75" customHeight="1">
      <c r="A67" s="10"/>
      <c r="B67" s="14"/>
      <c r="C67" s="14"/>
      <c r="D67" s="14"/>
      <c r="E67" s="14"/>
      <c r="F67" s="14"/>
      <c r="G67" s="14"/>
      <c r="H67" s="14"/>
      <c r="I67" s="14"/>
      <c r="J67" s="14"/>
      <c r="K67" s="14"/>
    </row>
    <row r="68" ht="15.75" customHeight="1">
      <c r="A68" s="10"/>
      <c r="B68" s="14"/>
      <c r="C68" s="14"/>
      <c r="D68" s="14"/>
      <c r="E68" s="14"/>
      <c r="F68" s="14"/>
      <c r="G68" s="14"/>
      <c r="H68" s="14"/>
      <c r="I68" s="14"/>
      <c r="J68" s="14"/>
      <c r="K68" s="14"/>
    </row>
    <row r="69" ht="15.75" customHeight="1">
      <c r="A69" s="10"/>
      <c r="B69" s="14"/>
      <c r="C69" s="14"/>
      <c r="D69" s="14"/>
      <c r="E69" s="14"/>
      <c r="F69" s="14"/>
      <c r="G69" s="14"/>
      <c r="H69" s="14"/>
      <c r="I69" s="14"/>
      <c r="J69" s="14"/>
      <c r="K69" s="14"/>
    </row>
    <row r="70" ht="15.75" customHeight="1">
      <c r="A70" s="10"/>
      <c r="B70" s="14"/>
      <c r="C70" s="14"/>
      <c r="D70" s="14"/>
      <c r="E70" s="14"/>
      <c r="F70" s="14"/>
      <c r="G70" s="14"/>
      <c r="H70" s="14"/>
      <c r="I70" s="14"/>
      <c r="J70" s="14"/>
      <c r="K70" s="14"/>
    </row>
    <row r="71" ht="15.75" customHeight="1">
      <c r="A71" s="10"/>
      <c r="B71" s="14"/>
      <c r="C71" s="14"/>
      <c r="D71" s="14"/>
      <c r="E71" s="14"/>
      <c r="F71" s="14"/>
      <c r="G71" s="14"/>
      <c r="H71" s="14"/>
      <c r="I71" s="14"/>
      <c r="J71" s="14"/>
      <c r="K71" s="14"/>
    </row>
    <row r="72" ht="15.75" customHeight="1">
      <c r="A72" s="10"/>
      <c r="B72" s="14"/>
      <c r="C72" s="14"/>
      <c r="D72" s="14"/>
      <c r="E72" s="14"/>
      <c r="F72" s="14"/>
      <c r="G72" s="14"/>
      <c r="H72" s="14"/>
      <c r="I72" s="14"/>
      <c r="J72" s="14"/>
      <c r="K72" s="14"/>
    </row>
    <row r="73" ht="15.75" customHeight="1">
      <c r="A73" s="10"/>
      <c r="B73" s="14"/>
      <c r="C73" s="14"/>
      <c r="D73" s="14"/>
      <c r="E73" s="14"/>
      <c r="F73" s="14"/>
      <c r="G73" s="14"/>
      <c r="H73" s="14"/>
      <c r="I73" s="14"/>
      <c r="J73" s="14"/>
      <c r="K73" s="14"/>
    </row>
    <row r="74" ht="15.75" customHeight="1">
      <c r="A74" s="10"/>
      <c r="B74" s="14"/>
      <c r="C74" s="14"/>
      <c r="D74" s="14"/>
      <c r="E74" s="14"/>
      <c r="F74" s="14"/>
      <c r="G74" s="14"/>
      <c r="H74" s="14"/>
      <c r="I74" s="14"/>
      <c r="J74" s="14"/>
      <c r="K74" s="14"/>
    </row>
    <row r="75" ht="15.75" customHeight="1">
      <c r="A75" s="10"/>
      <c r="B75" s="14"/>
      <c r="C75" s="14"/>
      <c r="D75" s="14"/>
      <c r="E75" s="14"/>
      <c r="F75" s="14"/>
      <c r="G75" s="14"/>
      <c r="H75" s="14"/>
      <c r="I75" s="14"/>
      <c r="J75" s="14"/>
      <c r="K75" s="14"/>
    </row>
    <row r="76" ht="15.75" customHeight="1">
      <c r="A76" s="10"/>
      <c r="B76" s="14"/>
      <c r="C76" s="14"/>
      <c r="D76" s="14"/>
      <c r="E76" s="14"/>
      <c r="F76" s="14"/>
      <c r="G76" s="14"/>
      <c r="H76" s="14"/>
      <c r="I76" s="14"/>
      <c r="J76" s="14"/>
      <c r="K76" s="14"/>
    </row>
    <row r="77" ht="15.75" customHeight="1">
      <c r="A77" s="10"/>
      <c r="B77" s="14"/>
      <c r="C77" s="14"/>
      <c r="D77" s="14"/>
      <c r="E77" s="14"/>
      <c r="F77" s="14"/>
      <c r="G77" s="14"/>
      <c r="H77" s="14"/>
      <c r="I77" s="14"/>
      <c r="J77" s="14"/>
      <c r="K77" s="14"/>
    </row>
    <row r="78" ht="15.75" customHeight="1">
      <c r="A78" s="10"/>
      <c r="B78" s="14"/>
      <c r="C78" s="14"/>
      <c r="D78" s="14"/>
      <c r="E78" s="14"/>
      <c r="F78" s="14"/>
      <c r="G78" s="14"/>
      <c r="H78" s="14"/>
      <c r="I78" s="14"/>
      <c r="J78" s="14"/>
      <c r="K78" s="14"/>
    </row>
    <row r="79" ht="15.75" customHeight="1">
      <c r="A79" s="10"/>
      <c r="B79" s="14"/>
      <c r="C79" s="14"/>
      <c r="D79" s="14"/>
      <c r="E79" s="14"/>
      <c r="F79" s="14"/>
      <c r="G79" s="14"/>
      <c r="H79" s="14"/>
      <c r="I79" s="14"/>
      <c r="J79" s="14"/>
      <c r="K79" s="14"/>
    </row>
    <row r="80" ht="15.75" customHeight="1">
      <c r="A80" s="10"/>
      <c r="B80" s="14"/>
      <c r="C80" s="14"/>
      <c r="D80" s="14"/>
      <c r="E80" s="14"/>
      <c r="F80" s="14"/>
      <c r="G80" s="14"/>
      <c r="H80" s="14"/>
      <c r="I80" s="14"/>
      <c r="J80" s="14"/>
      <c r="K80" s="14"/>
    </row>
    <row r="81" ht="15.75" customHeight="1">
      <c r="A81" s="10"/>
      <c r="B81" s="14"/>
      <c r="C81" s="14"/>
      <c r="D81" s="14"/>
      <c r="E81" s="14"/>
      <c r="F81" s="14"/>
      <c r="G81" s="14"/>
      <c r="H81" s="14"/>
      <c r="I81" s="14"/>
      <c r="J81" s="14"/>
      <c r="K81" s="14"/>
    </row>
    <row r="82" ht="15.75" customHeight="1">
      <c r="A82" s="10"/>
      <c r="B82" s="14"/>
      <c r="C82" s="14"/>
      <c r="D82" s="14"/>
      <c r="E82" s="14"/>
      <c r="F82" s="14"/>
      <c r="G82" s="14"/>
      <c r="H82" s="14"/>
      <c r="I82" s="14"/>
      <c r="J82" s="14"/>
      <c r="K82" s="14"/>
    </row>
    <row r="83" ht="15.75" customHeight="1">
      <c r="A83" s="10"/>
      <c r="B83" s="14"/>
      <c r="C83" s="14"/>
      <c r="D83" s="14"/>
      <c r="E83" s="14"/>
      <c r="F83" s="14"/>
      <c r="G83" s="14"/>
      <c r="H83" s="14"/>
      <c r="I83" s="14"/>
      <c r="J83" s="14"/>
      <c r="K83" s="14"/>
    </row>
    <row r="84" ht="15.75" customHeight="1">
      <c r="A84" s="10"/>
      <c r="B84" s="14"/>
      <c r="C84" s="14"/>
      <c r="D84" s="14"/>
      <c r="E84" s="14"/>
      <c r="F84" s="14"/>
      <c r="G84" s="14"/>
      <c r="H84" s="14"/>
      <c r="I84" s="14"/>
      <c r="J84" s="14"/>
      <c r="K84" s="14"/>
    </row>
    <row r="85" ht="15.75" customHeight="1">
      <c r="A85" s="10"/>
      <c r="B85" s="14"/>
      <c r="C85" s="14"/>
      <c r="D85" s="14"/>
      <c r="E85" s="14"/>
      <c r="F85" s="14"/>
      <c r="G85" s="14"/>
      <c r="H85" s="14"/>
      <c r="I85" s="14"/>
      <c r="J85" s="14"/>
      <c r="K85" s="14"/>
    </row>
    <row r="86" ht="15.75" customHeight="1">
      <c r="A86" s="10"/>
      <c r="B86" s="14"/>
      <c r="C86" s="14"/>
      <c r="D86" s="14"/>
      <c r="E86" s="14"/>
      <c r="F86" s="14"/>
      <c r="G86" s="14"/>
      <c r="H86" s="14"/>
      <c r="I86" s="14"/>
      <c r="J86" s="14"/>
      <c r="K86" s="14"/>
    </row>
    <row r="87" ht="15.75" customHeight="1">
      <c r="A87" s="10"/>
      <c r="B87" s="14"/>
      <c r="C87" s="14"/>
      <c r="D87" s="14"/>
      <c r="E87" s="14"/>
      <c r="F87" s="14"/>
      <c r="G87" s="14"/>
      <c r="H87" s="14"/>
      <c r="I87" s="14"/>
      <c r="J87" s="14"/>
      <c r="K87" s="14"/>
    </row>
    <row r="88" ht="15.75" customHeight="1">
      <c r="A88" s="10"/>
      <c r="B88" s="14"/>
      <c r="C88" s="14"/>
      <c r="D88" s="14"/>
      <c r="E88" s="14"/>
      <c r="F88" s="14"/>
      <c r="G88" s="14"/>
      <c r="H88" s="14"/>
      <c r="I88" s="14"/>
      <c r="J88" s="14"/>
      <c r="K88" s="14"/>
    </row>
    <row r="89" ht="15.75" customHeight="1">
      <c r="A89" s="10"/>
      <c r="B89" s="14"/>
      <c r="C89" s="14"/>
      <c r="D89" s="14"/>
      <c r="E89" s="14"/>
      <c r="F89" s="14"/>
      <c r="G89" s="14"/>
      <c r="H89" s="14"/>
      <c r="I89" s="14"/>
      <c r="J89" s="14"/>
      <c r="K89" s="14"/>
    </row>
    <row r="90" ht="15.75" customHeight="1">
      <c r="A90" s="10"/>
      <c r="B90" s="14"/>
      <c r="C90" s="14"/>
      <c r="D90" s="14"/>
      <c r="E90" s="14"/>
      <c r="F90" s="14"/>
      <c r="G90" s="14"/>
      <c r="H90" s="14"/>
      <c r="I90" s="14"/>
      <c r="J90" s="14"/>
      <c r="K90" s="14"/>
    </row>
    <row r="91" ht="15.75" customHeight="1">
      <c r="A91" s="10"/>
      <c r="B91" s="14"/>
      <c r="C91" s="14"/>
      <c r="D91" s="14"/>
      <c r="E91" s="14"/>
      <c r="F91" s="14"/>
      <c r="G91" s="14"/>
      <c r="H91" s="14"/>
      <c r="I91" s="14"/>
      <c r="J91" s="14"/>
      <c r="K91" s="14"/>
    </row>
    <row r="92" ht="15.75" customHeight="1">
      <c r="A92" s="10"/>
      <c r="B92" s="14"/>
      <c r="C92" s="14"/>
      <c r="D92" s="14"/>
      <c r="E92" s="14"/>
      <c r="F92" s="14"/>
      <c r="G92" s="14"/>
      <c r="H92" s="14"/>
      <c r="I92" s="14"/>
      <c r="J92" s="14"/>
      <c r="K92" s="14"/>
    </row>
    <row r="93" ht="15.75" customHeight="1">
      <c r="A93" s="10"/>
      <c r="B93" s="14"/>
      <c r="C93" s="14"/>
      <c r="D93" s="14"/>
      <c r="E93" s="14"/>
      <c r="F93" s="14"/>
      <c r="G93" s="14"/>
      <c r="H93" s="14"/>
      <c r="I93" s="14"/>
      <c r="J93" s="14"/>
      <c r="K93" s="14"/>
    </row>
    <row r="94" ht="15.75" customHeight="1">
      <c r="A94" s="10"/>
      <c r="B94" s="14"/>
      <c r="C94" s="14"/>
      <c r="D94" s="14"/>
      <c r="E94" s="14"/>
      <c r="F94" s="14"/>
      <c r="G94" s="14"/>
      <c r="H94" s="14"/>
      <c r="I94" s="14"/>
      <c r="J94" s="14"/>
      <c r="K94" s="14"/>
    </row>
    <row r="95" ht="15.75" customHeight="1">
      <c r="A95" s="10"/>
      <c r="B95" s="14"/>
      <c r="C95" s="14"/>
      <c r="D95" s="14"/>
      <c r="E95" s="14"/>
      <c r="F95" s="14"/>
      <c r="G95" s="14"/>
      <c r="H95" s="14"/>
      <c r="I95" s="14"/>
      <c r="J95" s="14"/>
      <c r="K95" s="14"/>
    </row>
    <row r="96" ht="15.75" customHeight="1">
      <c r="A96" s="10"/>
      <c r="B96" s="14"/>
      <c r="C96" s="14"/>
      <c r="D96" s="14"/>
      <c r="E96" s="14"/>
      <c r="F96" s="14"/>
      <c r="G96" s="14"/>
      <c r="H96" s="14"/>
      <c r="I96" s="14"/>
      <c r="J96" s="14"/>
      <c r="K96" s="14"/>
    </row>
    <row r="97" ht="15.75" customHeight="1">
      <c r="A97" s="10"/>
      <c r="B97" s="14"/>
      <c r="C97" s="14"/>
      <c r="D97" s="14"/>
      <c r="E97" s="14"/>
      <c r="F97" s="14"/>
      <c r="G97" s="14"/>
      <c r="H97" s="14"/>
      <c r="I97" s="14"/>
      <c r="J97" s="14"/>
      <c r="K97" s="14"/>
    </row>
    <row r="98" ht="15.75" customHeight="1">
      <c r="A98" s="10"/>
      <c r="B98" s="14"/>
      <c r="C98" s="14"/>
      <c r="D98" s="14"/>
      <c r="E98" s="14"/>
      <c r="F98" s="14"/>
      <c r="G98" s="14"/>
      <c r="H98" s="14"/>
      <c r="I98" s="14"/>
      <c r="J98" s="14"/>
      <c r="K98" s="14"/>
    </row>
    <row r="99" ht="15.75" customHeight="1">
      <c r="A99" s="10"/>
      <c r="B99" s="14"/>
      <c r="C99" s="14"/>
      <c r="D99" s="14"/>
      <c r="E99" s="14"/>
      <c r="F99" s="14"/>
      <c r="G99" s="14"/>
      <c r="H99" s="14"/>
      <c r="I99" s="14"/>
      <c r="J99" s="14"/>
      <c r="K99" s="14"/>
    </row>
    <row r="100" ht="15.75" customHeight="1">
      <c r="A100" s="10"/>
      <c r="B100" s="14"/>
      <c r="C100" s="14"/>
      <c r="D100" s="14"/>
      <c r="E100" s="14"/>
      <c r="F100" s="14"/>
      <c r="G100" s="14"/>
      <c r="H100" s="14"/>
      <c r="I100" s="14"/>
      <c r="J100" s="14"/>
      <c r="K100" s="14"/>
    </row>
    <row r="101" ht="15.75" customHeight="1">
      <c r="A101" s="10"/>
      <c r="B101" s="14"/>
      <c r="C101" s="14"/>
      <c r="D101" s="14"/>
      <c r="E101" s="14"/>
      <c r="F101" s="14"/>
      <c r="G101" s="14"/>
      <c r="H101" s="14"/>
      <c r="I101" s="14"/>
      <c r="J101" s="14"/>
      <c r="K101" s="1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
    <mergeCell ref="A1:K1"/>
    <mergeCell ref="A2:K2"/>
    <mergeCell ref="B4:D4"/>
    <mergeCell ref="B5:D5"/>
    <mergeCell ref="B6:D6"/>
    <mergeCell ref="B7:D7"/>
  </mergeCells>
  <dataValidations>
    <dataValidation type="list" allowBlank="1" sqref="C11:C101">
      <formula1>"Critical,High,Medium,Low,Cosmetic"</formula1>
    </dataValidation>
    <dataValidation type="list" allowBlank="1" sqref="D11:D101">
      <formula1>"Public Portal → Event Browsing,Public Portal → Event Booking,Public Portal → Authentication,Admin Portal → Dashboard,Admin Portal → Event Management,Admin Portal → Booking Management,Admin Portal → Access Control,Other"</formula1>
    </dataValidation>
    <dataValidation type="list" allowBlank="1" sqref="K11:K101">
      <formula1>"Open,Fixed,Won't Fix,Duplicate"</formula1>
    </dataValidation>
  </dataValidations>
  <hyperlinks>
    <hyperlink r:id="rId1" ref="B6"/>
    <hyperlink r:id="rId2" ref="I14"/>
    <hyperlink r:id="rId3" ref="I15"/>
    <hyperlink r:id="rId4" ref="I18"/>
    <hyperlink r:id="rId5" ref="I19"/>
    <hyperlink r:id="rId6" ref="I21"/>
    <hyperlink r:id="rId7" ref="I22"/>
    <hyperlink r:id="rId8" ref="I26"/>
    <hyperlink r:id="rId9" ref="I27"/>
    <hyperlink r:id="rId10" ref="I29"/>
    <hyperlink r:id="rId11" ref="I30"/>
    <hyperlink r:id="rId12" ref="I33"/>
    <hyperlink r:id="rId13" ref="I41"/>
    <hyperlink r:id="rId14" ref="I42"/>
    <hyperlink r:id="rId15" ref="I43"/>
    <hyperlink r:id="rId16" ref="I44"/>
    <hyperlink r:id="rId17" ref="I47"/>
    <hyperlink r:id="rId18" ref="I51"/>
    <hyperlink r:id="rId19" ref="I52"/>
    <hyperlink r:id="rId20" ref="I53"/>
    <hyperlink r:id="rId21" ref="I54"/>
    <hyperlink r:id="rId22" ref="I55"/>
    <hyperlink r:id="rId23" ref="I58"/>
  </hyperlinks>
  <printOptions/>
  <pageMargins bottom="1.0" footer="0.0" header="0.0" left="0.75" right="0.75" top="1.0"/>
  <pageSetup orientation="landscape"/>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42.0"/>
    <col customWidth="1" min="3" max="3" width="26.0"/>
    <col customWidth="1" min="4" max="4" width="50.0"/>
    <col customWidth="1" min="5" max="26" width="8.71"/>
  </cols>
  <sheetData>
    <row r="1">
      <c r="A1" s="1" t="s">
        <v>329</v>
      </c>
    </row>
    <row r="2">
      <c r="A2" s="15" t="s">
        <v>330</v>
      </c>
    </row>
    <row r="4">
      <c r="A4" s="8" t="s">
        <v>331</v>
      </c>
      <c r="B4" s="8" t="s">
        <v>332</v>
      </c>
      <c r="C4" s="8" t="s">
        <v>333</v>
      </c>
      <c r="D4" s="8" t="s">
        <v>334</v>
      </c>
    </row>
    <row r="5" ht="45.75" customHeight="1">
      <c r="A5" s="16" t="s">
        <v>268</v>
      </c>
      <c r="B5" s="16" t="s">
        <v>335</v>
      </c>
      <c r="C5" s="16" t="s">
        <v>336</v>
      </c>
      <c r="D5" s="16" t="s">
        <v>337</v>
      </c>
    </row>
    <row r="6" ht="45.75" customHeight="1">
      <c r="A6" s="16" t="s">
        <v>208</v>
      </c>
      <c r="B6" s="16" t="s">
        <v>338</v>
      </c>
      <c r="C6" s="16" t="s">
        <v>339</v>
      </c>
      <c r="D6" s="16" t="s">
        <v>340</v>
      </c>
    </row>
    <row r="7" ht="45.75" customHeight="1">
      <c r="A7" s="16" t="s">
        <v>250</v>
      </c>
      <c r="B7" s="16" t="s">
        <v>341</v>
      </c>
      <c r="C7" s="16" t="s">
        <v>339</v>
      </c>
      <c r="D7" s="16" t="s">
        <v>342</v>
      </c>
    </row>
    <row r="8" ht="45.75" customHeight="1">
      <c r="A8" s="16" t="s">
        <v>194</v>
      </c>
      <c r="B8" s="16" t="s">
        <v>343</v>
      </c>
      <c r="C8" s="16" t="s">
        <v>344</v>
      </c>
      <c r="D8" s="16" t="s">
        <v>345</v>
      </c>
    </row>
    <row r="9" ht="45.75" customHeight="1">
      <c r="A9" s="16" t="s">
        <v>346</v>
      </c>
      <c r="B9" s="16" t="s">
        <v>347</v>
      </c>
      <c r="C9" s="16" t="s">
        <v>339</v>
      </c>
      <c r="D9" s="16" t="s">
        <v>348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55.0"/>
    <col customWidth="1" min="3" max="3" width="34.0"/>
    <col customWidth="1" min="4" max="26" width="8.71"/>
  </cols>
  <sheetData>
    <row r="1">
      <c r="A1" s="1" t="s">
        <v>349</v>
      </c>
    </row>
    <row r="3">
      <c r="A3" s="8" t="s">
        <v>12</v>
      </c>
      <c r="B3" s="8" t="s">
        <v>350</v>
      </c>
      <c r="C3" s="8" t="s">
        <v>351</v>
      </c>
    </row>
    <row r="4" ht="30.0" customHeight="1">
      <c r="A4" s="16" t="s">
        <v>22</v>
      </c>
      <c r="B4" s="16" t="s">
        <v>352</v>
      </c>
      <c r="C4" s="16" t="s">
        <v>353</v>
      </c>
    </row>
    <row r="5" ht="30.0" customHeight="1">
      <c r="A5" s="16" t="s">
        <v>64</v>
      </c>
      <c r="B5" s="16" t="s">
        <v>354</v>
      </c>
      <c r="C5" s="16" t="s">
        <v>355</v>
      </c>
    </row>
    <row r="6" ht="30.0" customHeight="1">
      <c r="A6" s="16" t="s">
        <v>33</v>
      </c>
      <c r="B6" s="16" t="s">
        <v>356</v>
      </c>
      <c r="C6" s="16" t="s">
        <v>357</v>
      </c>
    </row>
    <row r="7" ht="30.0" customHeight="1">
      <c r="A7" s="16" t="s">
        <v>98</v>
      </c>
      <c r="B7" s="16" t="s">
        <v>358</v>
      </c>
      <c r="C7" s="16" t="s">
        <v>359</v>
      </c>
    </row>
    <row r="8" ht="30.0" customHeight="1">
      <c r="A8" s="16" t="s">
        <v>56</v>
      </c>
      <c r="B8" s="16" t="s">
        <v>360</v>
      </c>
      <c r="C8" s="16" t="s">
        <v>361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0.0"/>
    <col customWidth="1" min="3" max="3" width="12.0"/>
    <col customWidth="1" min="4" max="4" width="26.0"/>
    <col customWidth="1" min="5" max="5" width="11.0"/>
    <col customWidth="1" min="6" max="26" width="8.71"/>
  </cols>
  <sheetData>
    <row r="1">
      <c r="A1" s="1" t="s">
        <v>362</v>
      </c>
    </row>
    <row r="3">
      <c r="A3" s="8" t="s">
        <v>363</v>
      </c>
      <c r="B3" s="8" t="s">
        <v>11</v>
      </c>
      <c r="C3" s="8" t="s">
        <v>12</v>
      </c>
      <c r="D3" s="8" t="s">
        <v>364</v>
      </c>
      <c r="E3" s="8" t="s">
        <v>20</v>
      </c>
    </row>
    <row r="4">
      <c r="A4" s="17" t="str">
        <f>'Bug Report'!A14</f>
        <v>4 -  Event Listing</v>
      </c>
      <c r="B4" s="17" t="str">
        <f>'Bug Report'!B14</f>
        <v>Cards must be evenly aligned in the grid at every screen width (mobile, tablet, desktop) with no overlapping or
visually offset cards.</v>
      </c>
      <c r="C4" s="17" t="str">
        <f>'Bug Report'!C14</f>
        <v>Cosmetic</v>
      </c>
      <c r="D4" s="17" t="str">
        <f>'Bug Report'!D14</f>
        <v>Other</v>
      </c>
      <c r="E4" s="17" t="str">
        <f>'Bug Report'!K14</f>
        <v>Open</v>
      </c>
    </row>
    <row r="5">
      <c r="A5" s="17" t="str">
        <f>'Bug Report'!A15</f>
        <v>5 -  Event Listing</v>
      </c>
      <c r="B5" s="17" t="str">
        <f>'Bug Report'!B15</f>
        <v>Only events that are genuinely relevant to browse/book should be presented as bookable; past events should
be clearly distinguishable from upcoming ones</v>
      </c>
      <c r="C5" s="17" t="str">
        <f>'Bug Report'!C15</f>
        <v>High</v>
      </c>
      <c r="D5" s="17" t="str">
        <f>'Bug Report'!D15</f>
        <v>Public Portal → Event Booking</v>
      </c>
      <c r="E5" s="17" t="str">
        <f>'Bug Report'!K15</f>
        <v>Open</v>
      </c>
    </row>
    <row r="6">
      <c r="A6" s="17" t="str">
        <f>'Bug Report'!A18</f>
        <v>8 -  Search</v>
      </c>
      <c r="B6" s="17" t="str">
        <f>'Bug Report'!B18</f>
        <v> Search should match partial and case-insensitive input (e.g. searching “tech” should find “Colombo Tech
Summit”).</v>
      </c>
      <c r="C6" s="17" t="str">
        <f>'Bug Report'!C18</f>
        <v>Medium</v>
      </c>
      <c r="D6" s="17" t="str">
        <f>'Bug Report'!D18</f>
        <v>Other</v>
      </c>
      <c r="E6" s="17" t="str">
        <f>'Bug Report'!K18</f>
        <v>Open</v>
      </c>
    </row>
    <row r="7">
      <c r="A7" s="17" t="str">
        <f>'Bug Report'!A19</f>
        <v>9 -  Search</v>
      </c>
      <c r="B7" s="17" t="str">
        <f>'Bug Report'!B19</f>
        <v>The search term should remain applied when navigating between pages of results.</v>
      </c>
      <c r="C7" s="17" t="str">
        <f>'Bug Report'!C19</f>
        <v>Medium</v>
      </c>
      <c r="D7" s="17" t="str">
        <f>'Bug Report'!D19</f>
        <v>Other</v>
      </c>
      <c r="E7" s="17" t="str">
        <f>'Bug Report'!K19</f>
        <v>Open</v>
      </c>
    </row>
    <row r="8">
      <c r="A8" s="17" t="str">
        <f>'Bug Report'!A21</f>
        <v>11 - Search</v>
      </c>
      <c r="B8" s="17" t="str">
        <f>'Bug Report'!B21</f>
        <v>Clearing the search field does not automatically refresh the event list</v>
      </c>
      <c r="C8" s="17" t="str">
        <f>'Bug Report'!C21</f>
        <v>Low</v>
      </c>
      <c r="D8" s="17" t="str">
        <f>'Bug Report'!D21</f>
        <v>Other</v>
      </c>
      <c r="E8" s="17" t="str">
        <f>'Bug Report'!K21</f>
        <v>Open</v>
      </c>
    </row>
    <row r="9">
      <c r="A9" s="17" t="str">
        <f>'Bug Report'!A22</f>
        <v>12 - Event details</v>
      </c>
      <c r="B9" s="17" t="str">
        <f>'Bug Report'!B22</f>
        <v>The event details page shows full event information: title, venue, date/time, full description, price, and remaining
capacity.</v>
      </c>
      <c r="C9" s="17" t="str">
        <f>'Bug Report'!C22</f>
        <v>Medium</v>
      </c>
      <c r="D9" s="17" t="str">
        <f>'Bug Report'!D22</f>
        <v>Other</v>
      </c>
      <c r="E9" s="17" t="str">
        <f>'Bug Report'!K22</f>
        <v>Open</v>
      </c>
    </row>
    <row r="10">
      <c r="A10" s="17" t="str">
        <f>'Bug Report'!A23</f>
        <v>13 - Event details</v>
      </c>
      <c r="B10" s="17" t="str">
        <f>'Bug Report'!B23</f>
        <v>Logged-in users see a booking form (ticket quantity + “Book Now”); guests see a prompt to log in or register
instead.</v>
      </c>
      <c r="C10" s="17" t="str">
        <f>'Bug Report'!C23</f>
        <v>Medium</v>
      </c>
      <c r="D10" s="17" t="str">
        <f>'Bug Report'!D23</f>
        <v>Other</v>
      </c>
      <c r="E10" s="17" t="str">
        <f>'Bug Report'!K23</f>
        <v>Fixed</v>
      </c>
    </row>
    <row r="11">
      <c r="A11" s="17" t="str">
        <f>'Bug Report'!A24</f>
        <v>14 - Booking</v>
      </c>
      <c r="B11" s="17" t="str">
        <f>'Bug Report'!B24</f>
        <v>A logged-in user can book 1 or more tickets for an upcoming event.
</v>
      </c>
      <c r="C11" s="17" t="str">
        <f>'Bug Report'!C24</f>
        <v>Medium</v>
      </c>
      <c r="D11" s="17" t="str">
        <f>'Bug Report'!D24</f>
        <v>Public Portal → Event Booking</v>
      </c>
      <c r="E11" s="17" t="str">
        <f>'Bug Report'!K24</f>
        <v>Fixed</v>
      </c>
    </row>
    <row r="12">
      <c r="A12" s="17" t="str">
        <f>'Bug Report'!A25</f>
        <v>15 - Booking</v>
      </c>
      <c r="B12" s="17" t="str">
        <f>'Bug Report'!B25</f>
        <v>The booking quantity must be a positive whole number; zero, negative, decimal, or blank quantities must be
rejected with a validation message</v>
      </c>
      <c r="C12" s="17" t="str">
        <f>'Bug Report'!C25</f>
        <v>Medium</v>
      </c>
      <c r="D12" s="17" t="str">
        <f>'Bug Report'!D25</f>
        <v>Public Portal → Event Booking</v>
      </c>
      <c r="E12" s="17" t="str">
        <f>'Bug Report'!K25</f>
        <v>Fixed</v>
      </c>
    </row>
    <row r="13">
      <c r="A13" s="17" t="str">
        <f>'Bug Report'!A26</f>
        <v>16 - Booking</v>
      </c>
      <c r="B13" s="17" t="str">
        <f>'Bug Report'!B26</f>
        <v>Booking quantity exceeds remaining event capacity</v>
      </c>
      <c r="C13" s="17" t="str">
        <f>'Bug Report'!C26</f>
        <v>High</v>
      </c>
      <c r="D13" s="17" t="str">
        <f>'Bug Report'!D26</f>
        <v>Public Portal → Event Booking</v>
      </c>
      <c r="E13" s="17" t="str">
        <f>'Bug Report'!K26</f>
        <v>Open</v>
      </c>
    </row>
    <row r="14">
      <c r="A14" s="17" t="str">
        <f>'Bug Report'!A27</f>
        <v>17 - Booking</v>
      </c>
      <c r="B14" s="17" t="str">
        <f>'Bug Report'!B27</f>
        <v>Incorrect total booking price calculation</v>
      </c>
      <c r="C14" s="17" t="str">
        <f>'Bug Report'!C27</f>
        <v>High</v>
      </c>
      <c r="D14" s="17" t="str">
        <f>'Bug Report'!D27</f>
        <v>Public Portal → Event Booking</v>
      </c>
      <c r="E14" s="17" t="str">
        <f>'Bug Report'!K27</f>
        <v>Open</v>
      </c>
    </row>
    <row r="15">
      <c r="A15" s="17" t="str">
        <f>'Bug Report'!A28</f>
        <v>18 - Booking</v>
      </c>
      <c r="B15" s="17" t="str">
        <f>'Bug Report'!B28</f>
        <v> A single click/submit of Book Now must create exactly one booking - rapid repeated clicks must not create
duplicate bookings</v>
      </c>
      <c r="C15" s="17" t="str">
        <f>'Bug Report'!C28</f>
        <v>High</v>
      </c>
      <c r="D15" s="17" t="str">
        <f>'Bug Report'!D28</f>
        <v>Public Portal → Event Booking</v>
      </c>
      <c r="E15" s="17" t="str">
        <f>'Bug Report'!K28</f>
        <v>Fixed</v>
      </c>
    </row>
    <row r="16">
      <c r="A16" s="17" t="str">
        <f>'Bug Report'!A29</f>
        <v>19 - Booking</v>
      </c>
      <c r="B16" s="17" t="str">
        <f>'Bug Report'!B29</f>
        <v>On success, the user is redirected to “My Bookings” with a clear confirmation message, and the new booking
appears in the list immediately.</v>
      </c>
      <c r="C16" s="17" t="str">
        <f>'Bug Report'!C29</f>
        <v>Medium</v>
      </c>
      <c r="D16" s="17" t="str">
        <f>'Bug Report'!D29</f>
        <v>Public Portal → Event Booking</v>
      </c>
      <c r="E16" s="17" t="str">
        <f>'Bug Report'!K29</f>
        <v>Open</v>
      </c>
    </row>
    <row r="17">
      <c r="A17" s="17" t="str">
        <f>'Bug Report'!A30</f>
        <v>20 - Booking</v>
      </c>
      <c r="B17" s="17" t="str">
        <f>'Bug Report'!B30</f>
        <v>Booking or My Bookings page responds too slowly</v>
      </c>
      <c r="C17" s="17" t="str">
        <f>'Bug Report'!C30</f>
        <v>Medium</v>
      </c>
      <c r="D17" s="17" t="str">
        <f>'Bug Report'!D30</f>
        <v>Public Portal → Event Booking</v>
      </c>
      <c r="E17" s="17" t="str">
        <f>'Bug Report'!K30</f>
        <v>Open</v>
      </c>
    </row>
    <row r="18">
      <c r="A18" s="17" t="str">
        <f>'Bug Report'!A31</f>
        <v>21 - MyBooking</v>
      </c>
      <c r="B18" s="17" t="str">
        <f>'Bug Report'!B31</f>
        <v>A logged-in user can view all of their own bookings: event, venue, date, quantity, total price, and status</v>
      </c>
      <c r="C18" s="17" t="str">
        <f>'Bug Report'!C31</f>
        <v>Medium</v>
      </c>
      <c r="D18" s="17" t="str">
        <f>'Bug Report'!D31</f>
        <v>Other</v>
      </c>
      <c r="E18" s="17" t="str">
        <f>'Bug Report'!K31</f>
        <v>Fixed</v>
      </c>
    </row>
    <row r="19">
      <c r="A19" s="17" t="str">
        <f>'Bug Report'!A32</f>
        <v>22 - MyBooking</v>
      </c>
      <c r="B19" s="17" t="str">
        <f>'Bug Report'!B32</f>
        <v>Verify that My Bookings summary tiles display total bookings, total tickets, and total amount spent accurately.</v>
      </c>
      <c r="C19" s="17" t="str">
        <f>'Bug Report'!C32</f>
        <v>Medium</v>
      </c>
      <c r="D19" s="17" t="str">
        <f>'Bug Report'!D32</f>
        <v>Other</v>
      </c>
      <c r="E19" s="17" t="str">
        <f>'Bug Report'!K32</f>
        <v>Fixed</v>
      </c>
    </row>
    <row r="20">
      <c r="A20" s="17" t="str">
        <f>'Bug Report'!A33</f>
        <v>23 - MyBooking</v>
      </c>
      <c r="B20" s="17" t="str">
        <f>'Bug Report'!B33</f>
        <v>Available slots are not displayed in the Admin Upcoming Events section after booking cancellation</v>
      </c>
      <c r="C20" s="17" t="str">
        <f>'Bug Report'!C33</f>
        <v>Medium</v>
      </c>
      <c r="D20" s="17" t="str">
        <f>'Bug Report'!D33</f>
        <v>Other</v>
      </c>
      <c r="E20" s="17" t="str">
        <f>'Bug Report'!K33</f>
        <v>Open</v>
      </c>
    </row>
    <row r="21" ht="15.75" customHeight="1">
      <c r="A21" s="17" t="str">
        <f>'Bug Report'!A34</f>
        <v>24 - MyBooking</v>
      </c>
      <c r="B21" s="17" t="str">
        <f>'Bug Report'!B34</f>
        <v>A user must not be able to view or cancel another user's booking.</v>
      </c>
      <c r="C21" s="17" t="str">
        <f>'Bug Report'!C34</f>
        <v>Medium</v>
      </c>
      <c r="D21" s="17" t="str">
        <f>'Bug Report'!D34</f>
        <v>Other</v>
      </c>
      <c r="E21" s="17" t="str">
        <f>'Bug Report'!K34</f>
        <v>Fixed</v>
      </c>
    </row>
    <row r="22" ht="15.75" customHeight="1">
      <c r="A22" s="17" t="str">
        <f>'Bug Report'!A35</f>
        <v>25 - MyBooking</v>
      </c>
      <c r="B22" s="17" t="str">
        <f>'Bug Report'!B35</f>
        <v>The page must load within 3 seconds under normal conditions.</v>
      </c>
      <c r="C22" s="17" t="str">
        <f>'Bug Report'!C35</f>
        <v>Medium</v>
      </c>
      <c r="D22" s="17" t="str">
        <f>'Bug Report'!D35</f>
        <v>Other</v>
      </c>
      <c r="E22" s="17" t="str">
        <f>'Bug Report'!K35</f>
        <v>Duplicate</v>
      </c>
    </row>
    <row r="23" ht="15.75" customHeight="1">
      <c r="A23" s="17" t="str">
        <f>'Bug Report'!A36</f>
        <v>26 -  Access Control</v>
      </c>
      <c r="B23" s="17" t="str">
        <f>'Bug Report'!B36</f>
        <v> All /admin routes and actions must be accessible only to users with the Admin role</v>
      </c>
      <c r="C23" s="17" t="str">
        <f>'Bug Report'!C36</f>
        <v>High</v>
      </c>
      <c r="D23" s="17" t="str">
        <f>'Bug Report'!D36</f>
        <v>Admin Portal → Access Control</v>
      </c>
      <c r="E23" s="17" t="str">
        <f>'Bug Report'!K36</f>
        <v>Fixed</v>
      </c>
    </row>
    <row r="24" ht="15.75" customHeight="1"/>
    <row r="25" ht="15.75" customHeight="1">
      <c r="A25" s="3" t="s">
        <v>12</v>
      </c>
      <c r="B25" s="3" t="s">
        <v>365</v>
      </c>
    </row>
    <row r="26" ht="15.75" customHeight="1">
      <c r="A26" s="18" t="s">
        <v>22</v>
      </c>
      <c r="B26" s="18">
        <f>COUNTIF('Bug Report'!C14:C36,"Critical")</f>
        <v>0</v>
      </c>
    </row>
    <row r="27" ht="15.75" customHeight="1">
      <c r="A27" s="18" t="s">
        <v>64</v>
      </c>
      <c r="B27" s="18">
        <f>COUNTIF('Bug Report'!C14:C36,"High")</f>
        <v>7</v>
      </c>
    </row>
    <row r="28" ht="15.75" customHeight="1">
      <c r="A28" s="18" t="s">
        <v>33</v>
      </c>
      <c r="B28" s="18">
        <f>COUNTIF('Bug Report'!C14:C36,"Medium")</f>
        <v>13</v>
      </c>
    </row>
    <row r="29" ht="15.75" customHeight="1">
      <c r="A29" s="18" t="s">
        <v>98</v>
      </c>
      <c r="B29" s="18">
        <f>COUNTIF('Bug Report'!C14:C36,"Low")</f>
        <v>2</v>
      </c>
    </row>
    <row r="30" ht="15.75" customHeight="1">
      <c r="A30" s="18" t="s">
        <v>56</v>
      </c>
      <c r="B30" s="18">
        <f>COUNTIF('Bug Report'!C14:C36,"Cosmetic")</f>
        <v>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